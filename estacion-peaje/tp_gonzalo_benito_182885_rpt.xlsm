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ublic\Documents\Rockwell Software\Arena\Reports\"/>
    </mc:Choice>
  </mc:AlternateContent>
  <xr:revisionPtr revIDLastSave="0" documentId="13_ncr:1_{E908E2A7-198D-426C-9C82-3BB406316252}" xr6:coauthVersionLast="47" xr6:coauthVersionMax="47" xr10:uidLastSave="{00000000-0000-0000-0000-000000000000}"/>
  <bookViews>
    <workbookView xWindow="-120" yWindow="-120" windowWidth="29040" windowHeight="15720" tabRatio="790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ContinuousTimeStatsByRep!$A$1:$L$11</definedName>
    <definedName name="ExternalData_1" localSheetId="4" hidden="1">CounterStatsByRep!$A$1:$G$2</definedName>
    <definedName name="ExternalData_1" localSheetId="2" hidden="1">DiscreteTimeStatsByRep!$A$1:$K$61</definedName>
    <definedName name="ExternalData_1" localSheetId="6" hidden="1">FrequencyStatsByRep!$A$1:$K$47</definedName>
    <definedName name="ExternalData_1" localSheetId="5" hidden="1">OutputStatsByRep!$A$1:$H$31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81" r:id="rId8"/>
    <pivotCache cacheId="88" r:id="rId9"/>
    <pivotCache cacheId="95" r:id="rId10"/>
    <pivotCache cacheId="102" r:id="rId11"/>
    <pivotCache cacheId="109" r:id="rId12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" i="23" l="1"/>
  <c r="N3" i="23"/>
  <c r="N4" i="23"/>
  <c r="N5" i="23"/>
  <c r="N6" i="23"/>
  <c r="N7" i="23"/>
  <c r="N8" i="23"/>
  <c r="N9" i="23"/>
  <c r="N10" i="23"/>
  <c r="N11" i="23"/>
  <c r="N12" i="23"/>
  <c r="N13" i="23"/>
  <c r="N14" i="23"/>
  <c r="N15" i="23"/>
  <c r="N16" i="23"/>
  <c r="N17" i="23"/>
  <c r="N18" i="23"/>
  <c r="N19" i="23"/>
  <c r="N20" i="23"/>
  <c r="N21" i="23"/>
  <c r="N22" i="23"/>
  <c r="N23" i="23"/>
  <c r="N24" i="23"/>
  <c r="N25" i="23"/>
  <c r="N26" i="23"/>
  <c r="N27" i="23"/>
  <c r="N28" i="23"/>
  <c r="N29" i="23"/>
  <c r="N30" i="23"/>
  <c r="N31" i="23"/>
  <c r="N32" i="23"/>
  <c r="N33" i="23"/>
  <c r="N34" i="23"/>
  <c r="N35" i="23"/>
  <c r="N36" i="23"/>
  <c r="N37" i="23"/>
  <c r="N38" i="23"/>
  <c r="N39" i="23"/>
  <c r="N40" i="23"/>
  <c r="N41" i="23"/>
  <c r="N42" i="23"/>
  <c r="N43" i="23"/>
  <c r="N44" i="23"/>
  <c r="N45" i="23"/>
  <c r="N46" i="23"/>
  <c r="N47" i="23"/>
  <c r="Q2" i="23" a="1"/>
  <c r="Q2" i="23" s="1"/>
  <c r="Q3" i="23" a="1"/>
  <c r="Q3" i="23" s="1"/>
  <c r="Q4" i="23" a="1"/>
  <c r="Q4" i="23" s="1"/>
  <c r="Q5" i="23" a="1"/>
  <c r="Q5" i="23" s="1"/>
  <c r="Q6" i="23" a="1"/>
  <c r="Q6" i="23" s="1"/>
  <c r="Q7" i="23" a="1"/>
  <c r="Q7" i="23" s="1"/>
  <c r="Q8" i="23" a="1"/>
  <c r="Q8" i="23" s="1"/>
  <c r="Q9" i="23" a="1"/>
  <c r="Q9" i="23" s="1"/>
  <c r="Q10" i="23" a="1"/>
  <c r="Q10" i="23" s="1"/>
  <c r="Q11" i="23" a="1"/>
  <c r="Q11" i="23" s="1"/>
  <c r="Q12" i="23" a="1"/>
  <c r="Q12" i="23" s="1"/>
  <c r="Q13" i="23" a="1"/>
  <c r="Q13" i="23" s="1"/>
  <c r="Q14" i="23" a="1"/>
  <c r="Q14" i="23" s="1"/>
  <c r="Q15" i="23" a="1"/>
  <c r="Q15" i="23" s="1"/>
  <c r="Q16" i="23" a="1"/>
  <c r="Q16" i="23" s="1"/>
  <c r="Q17" i="23" a="1"/>
  <c r="Q17" i="23" s="1"/>
  <c r="Q18" i="23" a="1"/>
  <c r="Q18" i="23" s="1"/>
  <c r="Q19" i="23" a="1"/>
  <c r="Q19" i="23" s="1"/>
  <c r="Q20" i="23" a="1"/>
  <c r="Q20" i="23" s="1"/>
  <c r="Q21" i="23" a="1"/>
  <c r="Q21" i="23" s="1"/>
  <c r="Q22" i="23" a="1"/>
  <c r="Q22" i="23" s="1"/>
  <c r="Q23" i="23" a="1"/>
  <c r="Q23" i="23" s="1"/>
  <c r="Q24" i="23" a="1"/>
  <c r="Q24" i="23" s="1"/>
  <c r="Q25" i="23" a="1"/>
  <c r="Q25" i="23" s="1"/>
  <c r="Q26" i="23" a="1"/>
  <c r="Q26" i="23" s="1"/>
  <c r="Q27" i="23" a="1"/>
  <c r="Q27" i="23" s="1"/>
  <c r="Q28" i="23" a="1"/>
  <c r="Q28" i="23" s="1"/>
  <c r="Q29" i="23" a="1"/>
  <c r="Q29" i="23" s="1"/>
  <c r="Q30" i="23" a="1"/>
  <c r="Q30" i="23" s="1"/>
  <c r="Q31" i="23" a="1"/>
  <c r="Q31" i="23" s="1"/>
  <c r="Q32" i="23" a="1"/>
  <c r="Q32" i="23" s="1"/>
  <c r="Q33" i="23" a="1"/>
  <c r="Q33" i="23" s="1"/>
  <c r="Q34" i="23" a="1"/>
  <c r="Q34" i="23" s="1"/>
  <c r="Q35" i="23" a="1"/>
  <c r="Q35" i="23" s="1"/>
  <c r="Q36" i="23" a="1"/>
  <c r="Q36" i="23" s="1"/>
  <c r="Q37" i="23" a="1"/>
  <c r="Q37" i="23" s="1"/>
  <c r="Q38" i="23" a="1"/>
  <c r="Q38" i="23" s="1"/>
  <c r="Q39" i="23" a="1"/>
  <c r="Q39" i="23" s="1"/>
  <c r="Q40" i="23" a="1"/>
  <c r="Q40" i="23" s="1"/>
  <c r="Q41" i="23" a="1"/>
  <c r="Q41" i="23" s="1"/>
  <c r="Q42" i="23" a="1"/>
  <c r="Q42" i="23" s="1"/>
  <c r="Q43" i="23" a="1"/>
  <c r="Q43" i="23" s="1"/>
  <c r="Q44" i="23" a="1"/>
  <c r="Q44" i="23" s="1"/>
  <c r="Q45" i="23" a="1"/>
  <c r="Q45" i="23" s="1"/>
  <c r="Q46" i="23" a="1"/>
  <c r="Q46" i="23" s="1"/>
  <c r="Q47" i="23" a="1"/>
  <c r="Q47" i="23" s="1"/>
  <c r="L2" i="23"/>
  <c r="L3" i="23"/>
  <c r="L4" i="23"/>
  <c r="L5" i="23"/>
  <c r="L6" i="23"/>
  <c r="L7" i="23"/>
  <c r="L8" i="23"/>
  <c r="L9" i="23"/>
  <c r="L10" i="23"/>
  <c r="L11" i="23"/>
  <c r="L12" i="23"/>
  <c r="L13" i="23"/>
  <c r="L14" i="23"/>
  <c r="L15" i="23"/>
  <c r="L16" i="23"/>
  <c r="L17" i="23"/>
  <c r="L18" i="23"/>
  <c r="L19" i="23"/>
  <c r="L20" i="23"/>
  <c r="L21" i="23"/>
  <c r="L22" i="23"/>
  <c r="L23" i="23"/>
  <c r="L24" i="23"/>
  <c r="L25" i="23"/>
  <c r="L26" i="23"/>
  <c r="L27" i="23"/>
  <c r="L28" i="23"/>
  <c r="L29" i="23"/>
  <c r="L30" i="23"/>
  <c r="L31" i="23"/>
  <c r="L32" i="23"/>
  <c r="L33" i="23"/>
  <c r="L34" i="23"/>
  <c r="L35" i="23"/>
  <c r="L36" i="23"/>
  <c r="L37" i="23"/>
  <c r="L38" i="23"/>
  <c r="L39" i="23"/>
  <c r="L40" i="23"/>
  <c r="L41" i="23"/>
  <c r="L42" i="23"/>
  <c r="L43" i="23"/>
  <c r="L44" i="23"/>
  <c r="L45" i="23"/>
  <c r="L46" i="23"/>
  <c r="L47" i="23"/>
  <c r="M2" i="23"/>
  <c r="M3" i="23"/>
  <c r="M4" i="23"/>
  <c r="M5" i="23"/>
  <c r="M6" i="23"/>
  <c r="M7" i="23"/>
  <c r="M8" i="23"/>
  <c r="M9" i="23"/>
  <c r="M10" i="23"/>
  <c r="M11" i="23"/>
  <c r="M12" i="23"/>
  <c r="M13" i="23"/>
  <c r="M14" i="23"/>
  <c r="M15" i="23"/>
  <c r="M16" i="23"/>
  <c r="M17" i="23"/>
  <c r="M18" i="23"/>
  <c r="M19" i="23"/>
  <c r="M20" i="23"/>
  <c r="M21" i="23"/>
  <c r="M22" i="23"/>
  <c r="M23" i="23"/>
  <c r="M24" i="23"/>
  <c r="M25" i="23"/>
  <c r="M26" i="23"/>
  <c r="M27" i="23"/>
  <c r="M28" i="23"/>
  <c r="M29" i="23"/>
  <c r="M30" i="23"/>
  <c r="M31" i="23"/>
  <c r="M32" i="23"/>
  <c r="M33" i="23"/>
  <c r="M34" i="23"/>
  <c r="M35" i="23"/>
  <c r="M36" i="23"/>
  <c r="M37" i="23"/>
  <c r="M38" i="23"/>
  <c r="M39" i="23"/>
  <c r="M40" i="23"/>
  <c r="M41" i="23"/>
  <c r="M42" i="23"/>
  <c r="M43" i="23"/>
  <c r="M44" i="23"/>
  <c r="M45" i="23"/>
  <c r="M46" i="23"/>
  <c r="M47" i="23"/>
  <c r="O2" i="23" a="1"/>
  <c r="O2" i="23" s="1"/>
  <c r="O3" i="23" a="1"/>
  <c r="O3" i="23" s="1"/>
  <c r="O4" i="23" a="1"/>
  <c r="O4" i="23"/>
  <c r="O5" i="23" a="1"/>
  <c r="O5" i="23" s="1"/>
  <c r="O6" i="23" a="1"/>
  <c r="O6" i="23" s="1"/>
  <c r="O7" i="23" a="1"/>
  <c r="O7" i="23" s="1"/>
  <c r="O8" i="23" a="1"/>
  <c r="O8" i="23" s="1"/>
  <c r="O9" i="23" a="1"/>
  <c r="O9" i="23" s="1"/>
  <c r="O10" i="23" a="1"/>
  <c r="O10" i="23" s="1"/>
  <c r="O11" i="23" a="1"/>
  <c r="O11" i="23"/>
  <c r="O12" i="23" a="1"/>
  <c r="O12" i="23" s="1"/>
  <c r="O13" i="23" a="1"/>
  <c r="O13" i="23" s="1"/>
  <c r="O14" i="23" a="1"/>
  <c r="O14" i="23" s="1"/>
  <c r="O15" i="23" a="1"/>
  <c r="O15" i="23" s="1"/>
  <c r="O16" i="23" a="1"/>
  <c r="O16" i="23" s="1"/>
  <c r="O17" i="23" a="1"/>
  <c r="O17" i="23"/>
  <c r="O18" i="23" a="1"/>
  <c r="O18" i="23" s="1"/>
  <c r="O19" i="23" a="1"/>
  <c r="O19" i="23" s="1"/>
  <c r="O20" i="23" a="1"/>
  <c r="O20" i="23" s="1"/>
  <c r="O21" i="23" a="1"/>
  <c r="O21" i="23"/>
  <c r="O22" i="23" a="1"/>
  <c r="O22" i="23" s="1"/>
  <c r="O23" i="23" a="1"/>
  <c r="O23" i="23" s="1"/>
  <c r="O24" i="23" a="1"/>
  <c r="O24" i="23" s="1"/>
  <c r="O25" i="23" a="1"/>
  <c r="O25" i="23" s="1"/>
  <c r="O26" i="23" a="1"/>
  <c r="O26" i="23" s="1"/>
  <c r="O27" i="23" a="1"/>
  <c r="O27" i="23" s="1"/>
  <c r="O28" i="23" a="1"/>
  <c r="O28" i="23" s="1"/>
  <c r="O29" i="23" a="1"/>
  <c r="O29" i="23" s="1"/>
  <c r="O30" i="23" a="1"/>
  <c r="O30" i="23" s="1"/>
  <c r="O31" i="23" a="1"/>
  <c r="O31" i="23" s="1"/>
  <c r="O32" i="23" a="1"/>
  <c r="O32" i="23" s="1"/>
  <c r="O33" i="23" a="1"/>
  <c r="O33" i="23" s="1"/>
  <c r="O34" i="23" a="1"/>
  <c r="O34" i="23" s="1"/>
  <c r="O35" i="23" a="1"/>
  <c r="O35" i="23" s="1"/>
  <c r="O36" i="23" a="1"/>
  <c r="O36" i="23" s="1"/>
  <c r="O37" i="23" a="1"/>
  <c r="O37" i="23" s="1"/>
  <c r="O38" i="23" a="1"/>
  <c r="O38" i="23" s="1"/>
  <c r="O39" i="23" a="1"/>
  <c r="O39" i="23" s="1"/>
  <c r="O40" i="23" a="1"/>
  <c r="O40" i="23" s="1"/>
  <c r="O41" i="23" a="1"/>
  <c r="O41" i="23" s="1"/>
  <c r="O42" i="23" a="1"/>
  <c r="O42" i="23" s="1"/>
  <c r="O43" i="23" a="1"/>
  <c r="O43" i="23" s="1"/>
  <c r="O44" i="23" a="1"/>
  <c r="O44" i="23" s="1"/>
  <c r="O45" i="23" a="1"/>
  <c r="O45" i="23" s="1"/>
  <c r="O46" i="23" a="1"/>
  <c r="O46" i="23"/>
  <c r="O47" i="23" a="1"/>
  <c r="O47" i="23" s="1"/>
  <c r="I2" i="20"/>
  <c r="I3" i="20"/>
  <c r="I4" i="20"/>
  <c r="I5" i="20"/>
  <c r="I6" i="20"/>
  <c r="I7" i="20"/>
  <c r="I8" i="20"/>
  <c r="I9" i="20"/>
  <c r="I10" i="20"/>
  <c r="P2" i="20" s="1" a="1"/>
  <c r="P2" i="20" s="1"/>
  <c r="I11" i="20"/>
  <c r="P14" i="20" s="1" a="1"/>
  <c r="P14" i="20" s="1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J2" i="20" a="1"/>
  <c r="J2" i="20" s="1"/>
  <c r="J3" i="20" a="1"/>
  <c r="J3" i="20"/>
  <c r="J4" i="20" a="1"/>
  <c r="J4" i="20" s="1"/>
  <c r="J5" i="20" a="1"/>
  <c r="J5" i="20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/>
  <c r="J23" i="20" a="1"/>
  <c r="J23" i="20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9" i="20" a="1"/>
  <c r="M29" i="20" s="1"/>
  <c r="M30" i="20" a="1"/>
  <c r="M30" i="20" s="1"/>
  <c r="M31" i="20" a="1"/>
  <c r="M31" i="20" s="1"/>
  <c r="M2" i="18"/>
  <c r="M3" i="18"/>
  <c r="P3" i="18" s="1" a="1"/>
  <c r="P3" i="18" s="1"/>
  <c r="M4" i="18"/>
  <c r="S4" i="18" s="1" a="1"/>
  <c r="S4" i="18" s="1"/>
  <c r="M5" i="18"/>
  <c r="M6" i="18"/>
  <c r="M7" i="18"/>
  <c r="O7" i="18" s="1" a="1"/>
  <c r="O7" i="18" s="1"/>
  <c r="M8" i="18"/>
  <c r="M9" i="18"/>
  <c r="M10" i="18"/>
  <c r="M11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/>
  <c r="N11" i="18" a="1"/>
  <c r="N11" i="18" s="1"/>
  <c r="Q2" i="18" a="1"/>
  <c r="Q2" i="18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T6" i="18" a="1"/>
  <c r="T6" i="18" s="1"/>
  <c r="L2" i="17"/>
  <c r="L3" i="17"/>
  <c r="L4" i="17"/>
  <c r="L5" i="17"/>
  <c r="L6" i="17"/>
  <c r="L7" i="17"/>
  <c r="V60" i="17" s="1" a="1"/>
  <c r="V60" i="17" s="1"/>
  <c r="L8" i="17"/>
  <c r="X55" i="17" s="1" a="1"/>
  <c r="X55" i="17" s="1"/>
  <c r="Y55" i="17" s="1"/>
  <c r="L9" i="17"/>
  <c r="X43" i="17" s="1" a="1"/>
  <c r="X43" i="17" s="1"/>
  <c r="Y43" i="17" s="1"/>
  <c r="L10" i="17"/>
  <c r="L11" i="17"/>
  <c r="L12" i="17"/>
  <c r="L13" i="17"/>
  <c r="L14" i="17"/>
  <c r="L15" i="17"/>
  <c r="L16" i="17"/>
  <c r="L17" i="17"/>
  <c r="L18" i="17"/>
  <c r="L19" i="17"/>
  <c r="L20" i="17"/>
  <c r="R20" i="17" s="1" a="1"/>
  <c r="R20" i="17" s="1"/>
  <c r="L21" i="17"/>
  <c r="L22" i="17"/>
  <c r="L23" i="17"/>
  <c r="L24" i="17"/>
  <c r="L25" i="17"/>
  <c r="L26" i="17"/>
  <c r="L27" i="17"/>
  <c r="L28" i="17"/>
  <c r="L29" i="17"/>
  <c r="L30" i="17"/>
  <c r="L31" i="17"/>
  <c r="X31" i="17" s="1" a="1"/>
  <c r="X31" i="17" s="1"/>
  <c r="Y31" i="17" s="1"/>
  <c r="L32" i="17"/>
  <c r="X32" i="17" s="1" a="1"/>
  <c r="X32" i="17" s="1"/>
  <c r="Y32" i="17" s="1"/>
  <c r="L33" i="17"/>
  <c r="X33" i="17" s="1" a="1"/>
  <c r="X33" i="17" s="1"/>
  <c r="Y33" i="17" s="1"/>
  <c r="L34" i="17"/>
  <c r="L35" i="17"/>
  <c r="L36" i="17"/>
  <c r="L37" i="17"/>
  <c r="L38" i="17"/>
  <c r="L39" i="17"/>
  <c r="L40" i="17"/>
  <c r="L41" i="17"/>
  <c r="L42" i="17"/>
  <c r="L43" i="17"/>
  <c r="L44" i="17"/>
  <c r="L45" i="17"/>
  <c r="X45" i="17" s="1" a="1"/>
  <c r="X45" i="17" s="1"/>
  <c r="Y45" i="17" s="1"/>
  <c r="L46" i="17"/>
  <c r="L47" i="17"/>
  <c r="L48" i="17"/>
  <c r="L49" i="17"/>
  <c r="L50" i="17"/>
  <c r="L51" i="17"/>
  <c r="L52" i="17"/>
  <c r="L53" i="17"/>
  <c r="L54" i="17"/>
  <c r="L55" i="17"/>
  <c r="L56" i="17"/>
  <c r="L57" i="17"/>
  <c r="L58" i="17"/>
  <c r="L59" i="17"/>
  <c r="L60" i="17"/>
  <c r="L61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32" i="17" a="1"/>
  <c r="M32" i="17" s="1"/>
  <c r="M33" i="17" a="1"/>
  <c r="M33" i="17" s="1"/>
  <c r="M34" i="17" a="1"/>
  <c r="M34" i="17" s="1"/>
  <c r="M35" i="17" a="1"/>
  <c r="M35" i="17" s="1"/>
  <c r="M36" i="17" a="1"/>
  <c r="M36" i="17" s="1"/>
  <c r="M37" i="17" a="1"/>
  <c r="M37" i="17" s="1"/>
  <c r="M38" i="17" a="1"/>
  <c r="M38" i="17" s="1"/>
  <c r="M39" i="17" a="1"/>
  <c r="M39" i="17" s="1"/>
  <c r="M40" i="17" a="1"/>
  <c r="M40" i="17" s="1"/>
  <c r="M41" i="17" a="1"/>
  <c r="M41" i="17" s="1"/>
  <c r="M42" i="17" a="1"/>
  <c r="M42" i="17" s="1"/>
  <c r="M43" i="17" a="1"/>
  <c r="M43" i="17" s="1"/>
  <c r="M44" i="17" a="1"/>
  <c r="M44" i="17" s="1"/>
  <c r="M45" i="17" a="1"/>
  <c r="M45" i="17" s="1"/>
  <c r="M46" i="17" a="1"/>
  <c r="M46" i="17" s="1"/>
  <c r="M47" i="17" a="1"/>
  <c r="M47" i="17" s="1"/>
  <c r="M48" i="17" a="1"/>
  <c r="M48" i="17" s="1"/>
  <c r="M49" i="17" a="1"/>
  <c r="M49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56" i="17" a="1"/>
  <c r="M56" i="17" s="1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P37" i="17" a="1"/>
  <c r="P37" i="17" s="1"/>
  <c r="P38" i="17" a="1"/>
  <c r="P38" i="17" s="1"/>
  <c r="P39" i="17" a="1"/>
  <c r="P39" i="17" s="1"/>
  <c r="P40" i="17" a="1"/>
  <c r="P40" i="17" s="1"/>
  <c r="P41" i="17" a="1"/>
  <c r="P41" i="17" s="1"/>
  <c r="P42" i="17" a="1"/>
  <c r="P42" i="17" s="1"/>
  <c r="P43" i="17" a="1"/>
  <c r="P43" i="17" s="1"/>
  <c r="P44" i="17" a="1"/>
  <c r="P44" i="17" s="1"/>
  <c r="P45" i="17" a="1"/>
  <c r="P45" i="17" s="1"/>
  <c r="P46" i="17" a="1"/>
  <c r="P46" i="17" s="1"/>
  <c r="P47" i="17" a="1"/>
  <c r="P47" i="17" s="1"/>
  <c r="P48" i="17" a="1"/>
  <c r="P48" i="17" s="1"/>
  <c r="P49" i="17" a="1"/>
  <c r="P49" i="17" s="1"/>
  <c r="P50" i="17" a="1"/>
  <c r="P50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56" i="17" a="1"/>
  <c r="P56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 s="1"/>
  <c r="V52" i="17" a="1"/>
  <c r="V52" i="17" s="1"/>
  <c r="X44" i="17" a="1"/>
  <c r="X44" i="17" s="1"/>
  <c r="Y44" i="17" s="1"/>
  <c r="G2" i="16"/>
  <c r="P25" i="23" l="1" a="1"/>
  <c r="P25" i="23" s="1"/>
  <c r="P13" i="23" a="1"/>
  <c r="P13" i="23" s="1"/>
  <c r="P37" i="23" a="1"/>
  <c r="P37" i="23" s="1"/>
  <c r="P18" i="23" a="1"/>
  <c r="P18" i="23" s="1"/>
  <c r="P8" i="20" a="1"/>
  <c r="P8" i="20" s="1"/>
  <c r="P27" i="20" a="1"/>
  <c r="P27" i="20" s="1"/>
  <c r="P26" i="20" a="1"/>
  <c r="P26" i="20" s="1"/>
  <c r="P20" i="20" a="1"/>
  <c r="P20" i="20" s="1"/>
  <c r="P2" i="18" a="1"/>
  <c r="P2" i="18" s="1"/>
  <c r="O11" i="18" a="1"/>
  <c r="O11" i="18" s="1"/>
  <c r="S5" i="18" a="1"/>
  <c r="S5" i="18" s="1"/>
  <c r="S6" i="18" a="1"/>
  <c r="S6" i="18" s="1"/>
  <c r="T7" i="18" a="1"/>
  <c r="T7" i="18" s="1"/>
  <c r="P6" i="18" a="1"/>
  <c r="P6" i="18" s="1"/>
  <c r="T5" i="18" a="1"/>
  <c r="T5" i="18" s="1"/>
  <c r="T4" i="18" a="1"/>
  <c r="T4" i="18" s="1"/>
  <c r="V39" i="17" a="1"/>
  <c r="V39" i="17" s="1"/>
  <c r="V32" i="17" a="1"/>
  <c r="V32" i="17" s="1"/>
  <c r="X34" i="17" a="1"/>
  <c r="X34" i="17" s="1"/>
  <c r="Y34" i="17" s="1"/>
  <c r="V42" i="17" a="1"/>
  <c r="V42" i="17" s="1"/>
  <c r="V6" i="17" a="1"/>
  <c r="V6" i="17" s="1"/>
  <c r="V15" i="17" a="1"/>
  <c r="V15" i="17" s="1"/>
  <c r="V24" i="17" a="1"/>
  <c r="V24" i="17" s="1"/>
  <c r="U45" i="17" a="1"/>
  <c r="U45" i="17" s="1"/>
  <c r="O44" i="17" a="1"/>
  <c r="O44" i="17" s="1"/>
  <c r="X13" i="17" a="1"/>
  <c r="X13" i="17" s="1"/>
  <c r="Y13" i="17" s="1"/>
  <c r="T44" i="17" a="1"/>
  <c r="T44" i="17" s="1"/>
  <c r="R44" i="17" a="1"/>
  <c r="R44" i="17" s="1"/>
  <c r="O32" i="17" a="1"/>
  <c r="O32" i="17" s="1"/>
  <c r="X12" i="17" a="1"/>
  <c r="X12" i="17" s="1"/>
  <c r="Y12" i="17" s="1"/>
  <c r="X58" i="17" a="1"/>
  <c r="X58" i="17" s="1"/>
  <c r="Y58" i="17" s="1"/>
  <c r="X11" i="17" a="1"/>
  <c r="X11" i="17" s="1"/>
  <c r="Y11" i="17" s="1"/>
  <c r="X10" i="17" a="1"/>
  <c r="X10" i="17" s="1"/>
  <c r="Y10" i="17" s="1"/>
  <c r="N60" i="17" a="1"/>
  <c r="N60" i="17" s="1"/>
  <c r="T56" i="17" a="1"/>
  <c r="T56" i="17" s="1"/>
  <c r="R32" i="17" a="1"/>
  <c r="R32" i="17" s="1"/>
  <c r="X2" i="17" a="1"/>
  <c r="X2" i="17" s="1"/>
  <c r="Y2" i="17" s="1"/>
  <c r="X46" i="17" a="1"/>
  <c r="X46" i="17" s="1"/>
  <c r="Y46" i="17" s="1"/>
  <c r="P23" i="23" a="1"/>
  <c r="P23" i="23" s="1"/>
  <c r="P35" i="23" a="1"/>
  <c r="P35" i="23" s="1"/>
  <c r="P7" i="23" a="1"/>
  <c r="P7" i="23" s="1"/>
  <c r="P47" i="23" a="1"/>
  <c r="P47" i="23" s="1"/>
  <c r="P42" i="23" a="1"/>
  <c r="P42" i="23" s="1"/>
  <c r="P12" i="23" a="1"/>
  <c r="P12" i="23" s="1"/>
  <c r="P29" i="23" a="1"/>
  <c r="P29" i="23" s="1"/>
  <c r="P5" i="23" a="1"/>
  <c r="P5" i="23" s="1"/>
  <c r="P36" i="23" a="1"/>
  <c r="P36" i="23" s="1"/>
  <c r="P6" i="23" a="1"/>
  <c r="P6" i="23" s="1"/>
  <c r="P41" i="23" a="1"/>
  <c r="P41" i="23" s="1"/>
  <c r="P17" i="23" a="1"/>
  <c r="P17" i="23" s="1"/>
  <c r="P11" i="23" a="1"/>
  <c r="P11" i="23" s="1"/>
  <c r="P24" i="23" a="1"/>
  <c r="P24" i="23" s="1"/>
  <c r="P46" i="23" a="1"/>
  <c r="P46" i="23" s="1"/>
  <c r="P34" i="23" a="1"/>
  <c r="P34" i="23" s="1"/>
  <c r="P22" i="23" a="1"/>
  <c r="P22" i="23" s="1"/>
  <c r="P4" i="23" a="1"/>
  <c r="P4" i="23" s="1"/>
  <c r="P30" i="23" a="1"/>
  <c r="P30" i="23" s="1"/>
  <c r="P40" i="23" a="1"/>
  <c r="P40" i="23" s="1"/>
  <c r="P28" i="23" a="1"/>
  <c r="P28" i="23" s="1"/>
  <c r="P16" i="23" a="1"/>
  <c r="P16" i="23" s="1"/>
  <c r="P10" i="23" a="1"/>
  <c r="P10" i="23" s="1"/>
  <c r="P45" i="23" a="1"/>
  <c r="P45" i="23" s="1"/>
  <c r="P27" i="23" a="1"/>
  <c r="P27" i="23" s="1"/>
  <c r="P15" i="23" a="1"/>
  <c r="P15" i="23" s="1"/>
  <c r="P3" i="23" a="1"/>
  <c r="P3" i="23" s="1"/>
  <c r="P39" i="23" a="1"/>
  <c r="P39" i="23" s="1"/>
  <c r="P33" i="23" a="1"/>
  <c r="P33" i="23" s="1"/>
  <c r="P21" i="23" a="1"/>
  <c r="P21" i="23" s="1"/>
  <c r="P9" i="23" a="1"/>
  <c r="P9" i="23" s="1"/>
  <c r="P38" i="23" a="1"/>
  <c r="P38" i="23" s="1"/>
  <c r="P26" i="23" a="1"/>
  <c r="P26" i="23" s="1"/>
  <c r="P14" i="23" a="1"/>
  <c r="P14" i="23" s="1"/>
  <c r="P2" i="23" a="1"/>
  <c r="P2" i="23" s="1"/>
  <c r="P44" i="23" a="1"/>
  <c r="P44" i="23" s="1"/>
  <c r="P32" i="23" a="1"/>
  <c r="P32" i="23" s="1"/>
  <c r="P20" i="23" a="1"/>
  <c r="P20" i="23" s="1"/>
  <c r="P8" i="23" a="1"/>
  <c r="P8" i="23" s="1"/>
  <c r="P43" i="23" a="1"/>
  <c r="P43" i="23" s="1"/>
  <c r="P31" i="23" a="1"/>
  <c r="P31" i="23" s="1"/>
  <c r="P19" i="23" a="1"/>
  <c r="P19" i="23" s="1"/>
  <c r="K25" i="20" a="1"/>
  <c r="K25" i="20" s="1"/>
  <c r="L29" i="20" a="1"/>
  <c r="L29" i="20" s="1"/>
  <c r="N29" i="20" s="1"/>
  <c r="L24" i="20" a="1"/>
  <c r="L24" i="20" s="1"/>
  <c r="N24" i="20" s="1"/>
  <c r="L23" i="20" a="1"/>
  <c r="L23" i="20" s="1"/>
  <c r="N23" i="20" s="1"/>
  <c r="K23" i="20" a="1"/>
  <c r="K23" i="20" s="1"/>
  <c r="K5" i="20" a="1"/>
  <c r="K5" i="20" s="1"/>
  <c r="O31" i="20" a="1"/>
  <c r="O31" i="20" s="1"/>
  <c r="L10" i="20" a="1"/>
  <c r="L10" i="20" s="1"/>
  <c r="N10" i="20" s="1"/>
  <c r="K16" i="20" a="1"/>
  <c r="K16" i="20" s="1"/>
  <c r="K10" i="20" a="1"/>
  <c r="K10" i="20" s="1"/>
  <c r="K4" i="20" a="1"/>
  <c r="K4" i="20" s="1"/>
  <c r="O19" i="20" a="1"/>
  <c r="O19" i="20" s="1"/>
  <c r="K28" i="20" a="1"/>
  <c r="K28" i="20" s="1"/>
  <c r="P24" i="20" a="1"/>
  <c r="P24" i="20" s="1"/>
  <c r="P12" i="20" a="1"/>
  <c r="P12" i="20" s="1"/>
  <c r="O30" i="20" a="1"/>
  <c r="O30" i="20" s="1"/>
  <c r="O18" i="20" a="1"/>
  <c r="O18" i="20" s="1"/>
  <c r="O12" i="20" a="1"/>
  <c r="O12" i="20" s="1"/>
  <c r="L21" i="20" a="1"/>
  <c r="L21" i="20" s="1"/>
  <c r="N21" i="20" s="1"/>
  <c r="L15" i="20" a="1"/>
  <c r="L15" i="20" s="1"/>
  <c r="N15" i="20" s="1"/>
  <c r="L3" i="20" a="1"/>
  <c r="L3" i="20" s="1"/>
  <c r="N3" i="20" s="1"/>
  <c r="K21" i="20" a="1"/>
  <c r="K21" i="20" s="1"/>
  <c r="K3" i="20" a="1"/>
  <c r="K3" i="20" s="1"/>
  <c r="L28" i="20" a="1"/>
  <c r="L28" i="20" s="1"/>
  <c r="N28" i="20" s="1"/>
  <c r="P30" i="20" a="1"/>
  <c r="P30" i="20" s="1"/>
  <c r="P18" i="20" a="1"/>
  <c r="P18" i="20" s="1"/>
  <c r="P6" i="20" a="1"/>
  <c r="P6" i="20" s="1"/>
  <c r="O24" i="20" a="1"/>
  <c r="O24" i="20" s="1"/>
  <c r="O6" i="20" a="1"/>
  <c r="O6" i="20" s="1"/>
  <c r="L27" i="20" a="1"/>
  <c r="L27" i="20" s="1"/>
  <c r="N27" i="20" s="1"/>
  <c r="L9" i="20" a="1"/>
  <c r="L9" i="20" s="1"/>
  <c r="N9" i="20" s="1"/>
  <c r="K27" i="20" a="1"/>
  <c r="K27" i="20" s="1"/>
  <c r="K15" i="20" a="1"/>
  <c r="K15" i="20" s="1"/>
  <c r="K9" i="20" a="1"/>
  <c r="K9" i="20" s="1"/>
  <c r="P19" i="20" a="1"/>
  <c r="P19" i="20" s="1"/>
  <c r="O13" i="20" a="1"/>
  <c r="O13" i="20" s="1"/>
  <c r="L4" i="20" a="1"/>
  <c r="L4" i="20" s="1"/>
  <c r="N4" i="20" s="1"/>
  <c r="P17" i="20" a="1"/>
  <c r="P17" i="20" s="1"/>
  <c r="O23" i="20" a="1"/>
  <c r="O23" i="20" s="1"/>
  <c r="O11" i="20" a="1"/>
  <c r="O11" i="20" s="1"/>
  <c r="L26" i="20" a="1"/>
  <c r="L26" i="20" s="1"/>
  <c r="N26" i="20" s="1"/>
  <c r="L8" i="20" a="1"/>
  <c r="L8" i="20" s="1"/>
  <c r="N8" i="20" s="1"/>
  <c r="K20" i="20" a="1"/>
  <c r="K20" i="20" s="1"/>
  <c r="K8" i="20" a="1"/>
  <c r="K8" i="20" s="1"/>
  <c r="O7" i="20" a="1"/>
  <c r="O7" i="20" s="1"/>
  <c r="K22" i="20" a="1"/>
  <c r="K22" i="20" s="1"/>
  <c r="P11" i="20" a="1"/>
  <c r="P11" i="20" s="1"/>
  <c r="O29" i="20" a="1"/>
  <c r="O29" i="20" s="1"/>
  <c r="O17" i="20" a="1"/>
  <c r="O17" i="20" s="1"/>
  <c r="O5" i="20" a="1"/>
  <c r="O5" i="20" s="1"/>
  <c r="L20" i="20" a="1"/>
  <c r="L20" i="20" s="1"/>
  <c r="N20" i="20" s="1"/>
  <c r="L14" i="20" a="1"/>
  <c r="L14" i="20" s="1"/>
  <c r="N14" i="20" s="1"/>
  <c r="L2" i="20" a="1"/>
  <c r="L2" i="20" s="1"/>
  <c r="N2" i="20" s="1"/>
  <c r="K26" i="20" a="1"/>
  <c r="K26" i="20" s="1"/>
  <c r="K14" i="20" a="1"/>
  <c r="K14" i="20" s="1"/>
  <c r="K2" i="20" a="1"/>
  <c r="K2" i="20" s="1"/>
  <c r="P7" i="20" a="1"/>
  <c r="P7" i="20" s="1"/>
  <c r="L22" i="20" a="1"/>
  <c r="L22" i="20" s="1"/>
  <c r="N22" i="20" s="1"/>
  <c r="P29" i="20" a="1"/>
  <c r="P29" i="20" s="1"/>
  <c r="P5" i="20" a="1"/>
  <c r="P5" i="20" s="1"/>
  <c r="P22" i="20" a="1"/>
  <c r="P22" i="20" s="1"/>
  <c r="P10" i="20" a="1"/>
  <c r="P10" i="20" s="1"/>
  <c r="O28" i="20" a="1"/>
  <c r="O28" i="20" s="1"/>
  <c r="O16" i="20" a="1"/>
  <c r="O16" i="20" s="1"/>
  <c r="O10" i="20" a="1"/>
  <c r="O10" i="20" s="1"/>
  <c r="L31" i="20" a="1"/>
  <c r="L31" i="20" s="1"/>
  <c r="N31" i="20" s="1"/>
  <c r="L25" i="20" a="1"/>
  <c r="L25" i="20" s="1"/>
  <c r="N25" i="20" s="1"/>
  <c r="L7" i="20" a="1"/>
  <c r="L7" i="20" s="1"/>
  <c r="N7" i="20" s="1"/>
  <c r="K19" i="20" a="1"/>
  <c r="K19" i="20" s="1"/>
  <c r="K13" i="20" a="1"/>
  <c r="K13" i="20" s="1"/>
  <c r="P31" i="20" a="1"/>
  <c r="P31" i="20" s="1"/>
  <c r="P25" i="20" a="1"/>
  <c r="P25" i="20" s="1"/>
  <c r="P13" i="20" a="1"/>
  <c r="P13" i="20" s="1"/>
  <c r="O25" i="20" a="1"/>
  <c r="O25" i="20" s="1"/>
  <c r="L16" i="20" a="1"/>
  <c r="L16" i="20" s="1"/>
  <c r="N16" i="20" s="1"/>
  <c r="P23" i="20" a="1"/>
  <c r="P23" i="20" s="1"/>
  <c r="P28" i="20" a="1"/>
  <c r="P28" i="20" s="1"/>
  <c r="P16" i="20" a="1"/>
  <c r="P16" i="20" s="1"/>
  <c r="P4" i="20" a="1"/>
  <c r="P4" i="20" s="1"/>
  <c r="O22" i="20" a="1"/>
  <c r="O22" i="20" s="1"/>
  <c r="O4" i="20" a="1"/>
  <c r="O4" i="20" s="1"/>
  <c r="L19" i="20" a="1"/>
  <c r="L19" i="20" s="1"/>
  <c r="N19" i="20" s="1"/>
  <c r="L13" i="20" a="1"/>
  <c r="L13" i="20" s="1"/>
  <c r="N13" i="20" s="1"/>
  <c r="K31" i="20" a="1"/>
  <c r="K31" i="20" s="1"/>
  <c r="K7" i="20" a="1"/>
  <c r="K7" i="20" s="1"/>
  <c r="P21" i="20" a="1"/>
  <c r="P21" i="20" s="1"/>
  <c r="P15" i="20" a="1"/>
  <c r="P15" i="20" s="1"/>
  <c r="P9" i="20" a="1"/>
  <c r="P9" i="20" s="1"/>
  <c r="P3" i="20" a="1"/>
  <c r="P3" i="20" s="1"/>
  <c r="O27" i="20" a="1"/>
  <c r="O27" i="20" s="1"/>
  <c r="O21" i="20" a="1"/>
  <c r="O21" i="20" s="1"/>
  <c r="O15" i="20" a="1"/>
  <c r="O15" i="20" s="1"/>
  <c r="O9" i="20" a="1"/>
  <c r="O9" i="20" s="1"/>
  <c r="O3" i="20" a="1"/>
  <c r="O3" i="20" s="1"/>
  <c r="L18" i="20" a="1"/>
  <c r="L18" i="20" s="1"/>
  <c r="N18" i="20" s="1"/>
  <c r="L12" i="20" a="1"/>
  <c r="L12" i="20" s="1"/>
  <c r="N12" i="20" s="1"/>
  <c r="K30" i="20" a="1"/>
  <c r="K30" i="20" s="1"/>
  <c r="K24" i="20" a="1"/>
  <c r="K24" i="20" s="1"/>
  <c r="K6" i="20" a="1"/>
  <c r="K6" i="20" s="1"/>
  <c r="L30" i="20" a="1"/>
  <c r="L30" i="20" s="1"/>
  <c r="N30" i="20" s="1"/>
  <c r="L6" i="20" a="1"/>
  <c r="L6" i="20" s="1"/>
  <c r="N6" i="20" s="1"/>
  <c r="K18" i="20" a="1"/>
  <c r="K18" i="20" s="1"/>
  <c r="K12" i="20" a="1"/>
  <c r="K12" i="20" s="1"/>
  <c r="O26" i="20" a="1"/>
  <c r="O26" i="20" s="1"/>
  <c r="O20" i="20" a="1"/>
  <c r="O20" i="20" s="1"/>
  <c r="O14" i="20" a="1"/>
  <c r="O14" i="20" s="1"/>
  <c r="O8" i="20" a="1"/>
  <c r="O8" i="20" s="1"/>
  <c r="O2" i="20" a="1"/>
  <c r="O2" i="20" s="1"/>
  <c r="L17" i="20" a="1"/>
  <c r="L17" i="20" s="1"/>
  <c r="N17" i="20" s="1"/>
  <c r="L11" i="20" a="1"/>
  <c r="L11" i="20" s="1"/>
  <c r="N11" i="20" s="1"/>
  <c r="L5" i="20" a="1"/>
  <c r="L5" i="20" s="1"/>
  <c r="N5" i="20" s="1"/>
  <c r="K29" i="20" a="1"/>
  <c r="K29" i="20" s="1"/>
  <c r="K17" i="20" a="1"/>
  <c r="K17" i="20" s="1"/>
  <c r="K11" i="20" a="1"/>
  <c r="K11" i="20" s="1"/>
  <c r="P10" i="18" a="1"/>
  <c r="P10" i="18" s="1"/>
  <c r="T11" i="18" a="1"/>
  <c r="T11" i="18" s="1"/>
  <c r="S11" i="18" a="1"/>
  <c r="S11" i="18" s="1"/>
  <c r="R10" i="18"/>
  <c r="U10" i="18" s="1"/>
  <c r="P9" i="18" a="1"/>
  <c r="P9" i="18" s="1"/>
  <c r="R9" i="18" s="1"/>
  <c r="U9" i="18" s="1"/>
  <c r="S3" i="18" a="1"/>
  <c r="S3" i="18" s="1"/>
  <c r="S10" i="18" a="1"/>
  <c r="S10" i="18" s="1"/>
  <c r="S2" i="18" a="1"/>
  <c r="S2" i="18" s="1"/>
  <c r="T10" i="18" a="1"/>
  <c r="T10" i="18" s="1"/>
  <c r="T9" i="18" a="1"/>
  <c r="T9" i="18" s="1"/>
  <c r="S9" i="18" a="1"/>
  <c r="S9" i="18" s="1"/>
  <c r="T3" i="18" a="1"/>
  <c r="T3" i="18" s="1"/>
  <c r="T8" i="18" a="1"/>
  <c r="T8" i="18" s="1"/>
  <c r="S8" i="18" a="1"/>
  <c r="S8" i="18" s="1"/>
  <c r="O5" i="18" a="1"/>
  <c r="O5" i="18" s="1"/>
  <c r="T2" i="18" a="1"/>
  <c r="T2" i="18" s="1"/>
  <c r="R2" i="18"/>
  <c r="U2" i="18" s="1"/>
  <c r="P7" i="18" a="1"/>
  <c r="P7" i="18" s="1"/>
  <c r="R7" i="18" s="1"/>
  <c r="U7" i="18" s="1"/>
  <c r="S7" i="18" a="1"/>
  <c r="S7" i="18" s="1"/>
  <c r="O6" i="18" a="1"/>
  <c r="O6" i="18" s="1"/>
  <c r="P5" i="18" a="1"/>
  <c r="P5" i="18" s="1"/>
  <c r="R5" i="18" s="1"/>
  <c r="U5" i="18" s="1"/>
  <c r="O10" i="18" a="1"/>
  <c r="O10" i="18" s="1"/>
  <c r="P4" i="18" a="1"/>
  <c r="P4" i="18" s="1"/>
  <c r="R4" i="18" s="1"/>
  <c r="U4" i="18" s="1"/>
  <c r="R6" i="18"/>
  <c r="U6" i="18" s="1"/>
  <c r="R3" i="18"/>
  <c r="U3" i="18" s="1"/>
  <c r="O4" i="18" a="1"/>
  <c r="O4" i="18" s="1"/>
  <c r="P11" i="18" a="1"/>
  <c r="P11" i="18" s="1"/>
  <c r="R11" i="18" s="1"/>
  <c r="U11" i="18" s="1"/>
  <c r="O3" i="18" a="1"/>
  <c r="O3" i="18" s="1"/>
  <c r="O9" i="18" a="1"/>
  <c r="O9" i="18" s="1"/>
  <c r="O8" i="18" a="1"/>
  <c r="O8" i="18" s="1"/>
  <c r="O2" i="18" a="1"/>
  <c r="O2" i="18" s="1"/>
  <c r="P8" i="18" a="1"/>
  <c r="P8" i="18" s="1"/>
  <c r="R8" i="18" s="1"/>
  <c r="U8" i="18" s="1"/>
  <c r="Q32" i="17"/>
  <c r="W32" i="17" s="1"/>
  <c r="V22" i="17" a="1"/>
  <c r="V22" i="17" s="1"/>
  <c r="X61" i="17" a="1"/>
  <c r="X61" i="17" s="1"/>
  <c r="Y61" i="17" s="1"/>
  <c r="X49" i="17" a="1"/>
  <c r="X49" i="17" s="1"/>
  <c r="Y49" i="17" s="1"/>
  <c r="X37" i="17" a="1"/>
  <c r="X37" i="17" s="1"/>
  <c r="Y37" i="17" s="1"/>
  <c r="U58" i="17" a="1"/>
  <c r="U58" i="17" s="1"/>
  <c r="R9" i="17" a="1"/>
  <c r="R9" i="17" s="1"/>
  <c r="N48" i="17" a="1"/>
  <c r="N48" i="17" s="1"/>
  <c r="N36" i="17" a="1"/>
  <c r="N36" i="17" s="1"/>
  <c r="N24" i="17" a="1"/>
  <c r="N24" i="17" s="1"/>
  <c r="N3" i="17" a="1"/>
  <c r="N3" i="17" s="1"/>
  <c r="X23" i="17" a="1"/>
  <c r="X23" i="17" s="1"/>
  <c r="Y23" i="17" s="1"/>
  <c r="V14" i="17" a="1"/>
  <c r="V14" i="17" s="1"/>
  <c r="T32" i="17" a="1"/>
  <c r="T32" i="17" s="1"/>
  <c r="R8" i="17" a="1"/>
  <c r="R8" i="17" s="1"/>
  <c r="V51" i="17" a="1"/>
  <c r="V51" i="17" s="1"/>
  <c r="X22" i="17" a="1"/>
  <c r="X22" i="17" s="1"/>
  <c r="Y22" i="17" s="1"/>
  <c r="T20" i="17" a="1"/>
  <c r="T20" i="17" s="1"/>
  <c r="O56" i="17" a="1"/>
  <c r="O56" i="17" s="1"/>
  <c r="X57" i="17" a="1"/>
  <c r="X57" i="17" s="1"/>
  <c r="Y57" i="17" s="1"/>
  <c r="V50" i="17" a="1"/>
  <c r="V50" i="17" s="1"/>
  <c r="V7" i="17" a="1"/>
  <c r="V7" i="17" s="1"/>
  <c r="X56" i="17" a="1"/>
  <c r="X56" i="17" s="1"/>
  <c r="Y56" i="17" s="1"/>
  <c r="Q56" i="17" s="1"/>
  <c r="W56" i="17" s="1"/>
  <c r="X21" i="17" a="1"/>
  <c r="X21" i="17" s="1"/>
  <c r="Y21" i="17" s="1"/>
  <c r="T8" i="17" a="1"/>
  <c r="T8" i="17" s="1"/>
  <c r="X20" i="17" a="1"/>
  <c r="X20" i="17" s="1"/>
  <c r="Y20" i="17" s="1"/>
  <c r="V41" i="17" a="1"/>
  <c r="V41" i="17" s="1"/>
  <c r="U57" i="17" a="1"/>
  <c r="U57" i="17" s="1"/>
  <c r="S56" i="17" a="1"/>
  <c r="S56" i="17" s="1"/>
  <c r="V40" i="17" a="1"/>
  <c r="V40" i="17" s="1"/>
  <c r="U56" i="17" a="1"/>
  <c r="U56" i="17" s="1"/>
  <c r="S44" i="17" a="1"/>
  <c r="S44" i="17" s="1"/>
  <c r="O20" i="17" a="1"/>
  <c r="O20" i="17" s="1"/>
  <c r="S32" i="17" a="1"/>
  <c r="S32" i="17" s="1"/>
  <c r="O8" i="17" a="1"/>
  <c r="O8" i="17" s="1"/>
  <c r="N30" i="17" a="1"/>
  <c r="N30" i="17" s="1"/>
  <c r="N18" i="17" a="1"/>
  <c r="N18" i="17" s="1"/>
  <c r="Q44" i="17"/>
  <c r="W44" i="17" s="1"/>
  <c r="U44" i="17" a="1"/>
  <c r="U44" i="17" s="1"/>
  <c r="S20" i="17" a="1"/>
  <c r="S20" i="17" s="1"/>
  <c r="N56" i="17" a="1"/>
  <c r="N56" i="17" s="1"/>
  <c r="V31" i="17" a="1"/>
  <c r="V31" i="17" s="1"/>
  <c r="U32" i="17" a="1"/>
  <c r="U32" i="17" s="1"/>
  <c r="S8" i="17" a="1"/>
  <c r="S8" i="17" s="1"/>
  <c r="N44" i="17" a="1"/>
  <c r="N44" i="17" s="1"/>
  <c r="U20" i="17" a="1"/>
  <c r="U20" i="17" s="1"/>
  <c r="R56" i="17" a="1"/>
  <c r="R56" i="17" s="1"/>
  <c r="N32" i="17" a="1"/>
  <c r="N32" i="17" s="1"/>
  <c r="N10" i="17" a="1"/>
  <c r="N10" i="17" s="1"/>
  <c r="V61" i="17" a="1"/>
  <c r="V61" i="17" s="1"/>
  <c r="V23" i="17" a="1"/>
  <c r="V23" i="17" s="1"/>
  <c r="U8" i="17" a="1"/>
  <c r="U8" i="17" s="1"/>
  <c r="N20" i="17" a="1"/>
  <c r="N20" i="17" s="1"/>
  <c r="V59" i="17" a="1"/>
  <c r="V59" i="17" s="1"/>
  <c r="U31" i="17" a="1"/>
  <c r="U31" i="17" s="1"/>
  <c r="S55" i="17" a="1"/>
  <c r="S55" i="17" s="1"/>
  <c r="S31" i="17" a="1"/>
  <c r="S31" i="17" s="1"/>
  <c r="S19" i="17" a="1"/>
  <c r="S19" i="17" s="1"/>
  <c r="S7" i="17" a="1"/>
  <c r="S7" i="17" s="1"/>
  <c r="R55" i="17" a="1"/>
  <c r="R55" i="17" s="1"/>
  <c r="R43" i="17" a="1"/>
  <c r="R43" i="17" s="1"/>
  <c r="R31" i="17" a="1"/>
  <c r="R31" i="17" s="1"/>
  <c r="R19" i="17" a="1"/>
  <c r="R19" i="17" s="1"/>
  <c r="R7" i="17" a="1"/>
  <c r="R7" i="17" s="1"/>
  <c r="O55" i="17" a="1"/>
  <c r="O55" i="17" s="1"/>
  <c r="O43" i="17" a="1"/>
  <c r="O43" i="17" s="1"/>
  <c r="O31" i="17" a="1"/>
  <c r="O31" i="17" s="1"/>
  <c r="Q31" i="17" s="1"/>
  <c r="W31" i="17" s="1"/>
  <c r="O19" i="17" a="1"/>
  <c r="O19" i="17" s="1"/>
  <c r="O7" i="17" a="1"/>
  <c r="O7" i="17" s="1"/>
  <c r="N55" i="17" a="1"/>
  <c r="N55" i="17" s="1"/>
  <c r="N43" i="17" a="1"/>
  <c r="N43" i="17" s="1"/>
  <c r="N31" i="17" a="1"/>
  <c r="N31" i="17" s="1"/>
  <c r="N19" i="17" a="1"/>
  <c r="N19" i="17" s="1"/>
  <c r="X30" i="17" a="1"/>
  <c r="X30" i="17" s="1"/>
  <c r="Y30" i="17" s="1"/>
  <c r="V49" i="17" a="1"/>
  <c r="V49" i="17" s="1"/>
  <c r="U7" i="17" a="1"/>
  <c r="U7" i="17" s="1"/>
  <c r="X53" i="17" a="1"/>
  <c r="X53" i="17" s="1"/>
  <c r="Y53" i="17" s="1"/>
  <c r="V48" i="17" a="1"/>
  <c r="V48" i="17" s="1"/>
  <c r="V20" i="17" a="1"/>
  <c r="V20" i="17" s="1"/>
  <c r="V4" i="17" a="1"/>
  <c r="V4" i="17" s="1"/>
  <c r="U54" i="17" a="1"/>
  <c r="U54" i="17" s="1"/>
  <c r="U42" i="17" a="1"/>
  <c r="U42" i="17" s="1"/>
  <c r="U30" i="17" a="1"/>
  <c r="U30" i="17" s="1"/>
  <c r="U18" i="17" a="1"/>
  <c r="U18" i="17" s="1"/>
  <c r="U6" i="17" a="1"/>
  <c r="U6" i="17" s="1"/>
  <c r="T54" i="17" a="1"/>
  <c r="T54" i="17" s="1"/>
  <c r="T42" i="17" a="1"/>
  <c r="T42" i="17" s="1"/>
  <c r="T30" i="17" a="1"/>
  <c r="T30" i="17" s="1"/>
  <c r="T18" i="17" a="1"/>
  <c r="T18" i="17" s="1"/>
  <c r="T6" i="17" a="1"/>
  <c r="T6" i="17" s="1"/>
  <c r="S54" i="17" a="1"/>
  <c r="S54" i="17" s="1"/>
  <c r="S42" i="17" a="1"/>
  <c r="S42" i="17" s="1"/>
  <c r="S30" i="17" a="1"/>
  <c r="S30" i="17" s="1"/>
  <c r="S18" i="17" a="1"/>
  <c r="S18" i="17" s="1"/>
  <c r="S6" i="17" a="1"/>
  <c r="S6" i="17" s="1"/>
  <c r="R54" i="17" a="1"/>
  <c r="R54" i="17" s="1"/>
  <c r="R42" i="17" a="1"/>
  <c r="R42" i="17" s="1"/>
  <c r="R30" i="17" a="1"/>
  <c r="R30" i="17" s="1"/>
  <c r="R18" i="17" a="1"/>
  <c r="R18" i="17" s="1"/>
  <c r="R6" i="17" a="1"/>
  <c r="R6" i="17" s="1"/>
  <c r="O54" i="17" a="1"/>
  <c r="O54" i="17" s="1"/>
  <c r="O42" i="17" a="1"/>
  <c r="O42" i="17" s="1"/>
  <c r="O30" i="17" a="1"/>
  <c r="O30" i="17" s="1"/>
  <c r="O18" i="17" a="1"/>
  <c r="O18" i="17" s="1"/>
  <c r="O6" i="17" a="1"/>
  <c r="O6" i="17" s="1"/>
  <c r="N54" i="17" a="1"/>
  <c r="N54" i="17" s="1"/>
  <c r="N42" i="17" a="1"/>
  <c r="N42" i="17" s="1"/>
  <c r="Q55" i="17"/>
  <c r="W55" i="17" s="1"/>
  <c r="X9" i="17" a="1"/>
  <c r="X9" i="17" s="1"/>
  <c r="Y9" i="17" s="1"/>
  <c r="U43" i="17" a="1"/>
  <c r="U43" i="17" s="1"/>
  <c r="T7" i="17" a="1"/>
  <c r="T7" i="17" s="1"/>
  <c r="V58" i="17" a="1"/>
  <c r="V58" i="17" s="1"/>
  <c r="V57" i="17" a="1"/>
  <c r="V57" i="17" s="1"/>
  <c r="V37" i="17" a="1"/>
  <c r="V37" i="17" s="1"/>
  <c r="U41" i="17" a="1"/>
  <c r="U41" i="17" s="1"/>
  <c r="U29" i="17" a="1"/>
  <c r="U29" i="17" s="1"/>
  <c r="U17" i="17" a="1"/>
  <c r="U17" i="17" s="1"/>
  <c r="U5" i="17" a="1"/>
  <c r="U5" i="17" s="1"/>
  <c r="T53" i="17" a="1"/>
  <c r="T53" i="17" s="1"/>
  <c r="T41" i="17" a="1"/>
  <c r="T41" i="17" s="1"/>
  <c r="T29" i="17" a="1"/>
  <c r="T29" i="17" s="1"/>
  <c r="T17" i="17" a="1"/>
  <c r="T17" i="17" s="1"/>
  <c r="T5" i="17" a="1"/>
  <c r="T5" i="17" s="1"/>
  <c r="S53" i="17" a="1"/>
  <c r="S53" i="17" s="1"/>
  <c r="S41" i="17" a="1"/>
  <c r="S41" i="17" s="1"/>
  <c r="S29" i="17" a="1"/>
  <c r="S29" i="17" s="1"/>
  <c r="S17" i="17" a="1"/>
  <c r="S17" i="17" s="1"/>
  <c r="S5" i="17" a="1"/>
  <c r="S5" i="17" s="1"/>
  <c r="R53" i="17" a="1"/>
  <c r="R53" i="17" s="1"/>
  <c r="R41" i="17" a="1"/>
  <c r="R41" i="17" s="1"/>
  <c r="R29" i="17" a="1"/>
  <c r="R29" i="17" s="1"/>
  <c r="R17" i="17" a="1"/>
  <c r="R17" i="17" s="1"/>
  <c r="R5" i="17" a="1"/>
  <c r="R5" i="17" s="1"/>
  <c r="O53" i="17" a="1"/>
  <c r="O53" i="17" s="1"/>
  <c r="O41" i="17" a="1"/>
  <c r="O41" i="17" s="1"/>
  <c r="O29" i="17" a="1"/>
  <c r="O29" i="17" s="1"/>
  <c r="O17" i="17" a="1"/>
  <c r="O17" i="17" s="1"/>
  <c r="O5" i="17" a="1"/>
  <c r="O5" i="17" s="1"/>
  <c r="N53" i="17" a="1"/>
  <c r="N53" i="17" s="1"/>
  <c r="N41" i="17" a="1"/>
  <c r="N41" i="17" s="1"/>
  <c r="N29" i="17" a="1"/>
  <c r="N29" i="17" s="1"/>
  <c r="N17" i="17" a="1"/>
  <c r="N17" i="17" s="1"/>
  <c r="X42" i="17" a="1"/>
  <c r="X42" i="17" s="1"/>
  <c r="Y42" i="17" s="1"/>
  <c r="Q42" i="17" s="1"/>
  <c r="W42" i="17" s="1"/>
  <c r="U55" i="17" a="1"/>
  <c r="U55" i="17" s="1"/>
  <c r="T19" i="17" a="1"/>
  <c r="T19" i="17" s="1"/>
  <c r="X8" i="17" a="1"/>
  <c r="X8" i="17" s="1"/>
  <c r="Y8" i="17" s="1"/>
  <c r="Q8" i="17" s="1"/>
  <c r="W8" i="17" s="1"/>
  <c r="X18" i="17" a="1"/>
  <c r="X18" i="17" s="1"/>
  <c r="Y18" i="17" s="1"/>
  <c r="X51" i="17" a="1"/>
  <c r="X51" i="17" s="1"/>
  <c r="Y51" i="17" s="1"/>
  <c r="V56" i="17" a="1"/>
  <c r="V56" i="17" s="1"/>
  <c r="V3" i="17" a="1"/>
  <c r="V3" i="17" s="1"/>
  <c r="U4" i="17" a="1"/>
  <c r="U4" i="17" s="1"/>
  <c r="T52" i="17" a="1"/>
  <c r="T52" i="17" s="1"/>
  <c r="T40" i="17" a="1"/>
  <c r="T40" i="17" s="1"/>
  <c r="T28" i="17" a="1"/>
  <c r="T28" i="17" s="1"/>
  <c r="T16" i="17" a="1"/>
  <c r="T16" i="17" s="1"/>
  <c r="T4" i="17" a="1"/>
  <c r="T4" i="17" s="1"/>
  <c r="S52" i="17" a="1"/>
  <c r="S52" i="17" s="1"/>
  <c r="S40" i="17" a="1"/>
  <c r="S40" i="17" s="1"/>
  <c r="S28" i="17" a="1"/>
  <c r="S28" i="17" s="1"/>
  <c r="S16" i="17" a="1"/>
  <c r="S16" i="17" s="1"/>
  <c r="S4" i="17" a="1"/>
  <c r="S4" i="17" s="1"/>
  <c r="R52" i="17" a="1"/>
  <c r="R52" i="17" s="1"/>
  <c r="R40" i="17" a="1"/>
  <c r="R40" i="17" s="1"/>
  <c r="R28" i="17" a="1"/>
  <c r="R28" i="17" s="1"/>
  <c r="R16" i="17" a="1"/>
  <c r="R16" i="17" s="1"/>
  <c r="R4" i="17" a="1"/>
  <c r="R4" i="17" s="1"/>
  <c r="O52" i="17" a="1"/>
  <c r="O52" i="17" s="1"/>
  <c r="O40" i="17" a="1"/>
  <c r="O40" i="17" s="1"/>
  <c r="O28" i="17" a="1"/>
  <c r="O28" i="17" s="1"/>
  <c r="O16" i="17" a="1"/>
  <c r="O16" i="17" s="1"/>
  <c r="O4" i="17" a="1"/>
  <c r="O4" i="17" s="1"/>
  <c r="N52" i="17" a="1"/>
  <c r="N52" i="17" s="1"/>
  <c r="N40" i="17" a="1"/>
  <c r="N40" i="17" s="1"/>
  <c r="N28" i="17" a="1"/>
  <c r="N28" i="17" s="1"/>
  <c r="N16" i="17" a="1"/>
  <c r="N16" i="17" s="1"/>
  <c r="V38" i="17" a="1"/>
  <c r="V38" i="17" s="1"/>
  <c r="T55" i="17" a="1"/>
  <c r="T55" i="17" s="1"/>
  <c r="X41" i="17" a="1"/>
  <c r="X41" i="17" s="1"/>
  <c r="Y41" i="17" s="1"/>
  <c r="Q41" i="17" s="1"/>
  <c r="W41" i="17" s="1"/>
  <c r="V29" i="17" a="1"/>
  <c r="V29" i="17" s="1"/>
  <c r="V28" i="17" a="1"/>
  <c r="V28" i="17" s="1"/>
  <c r="X27" i="17" a="1"/>
  <c r="X27" i="17" s="1"/>
  <c r="Y27" i="17" s="1"/>
  <c r="V27" i="17" a="1"/>
  <c r="V27" i="17" s="1"/>
  <c r="U28" i="17" a="1"/>
  <c r="U28" i="17" s="1"/>
  <c r="X38" i="17" a="1"/>
  <c r="X38" i="17" s="1"/>
  <c r="Y38" i="17" s="1"/>
  <c r="V45" i="17" a="1"/>
  <c r="V45" i="17" s="1"/>
  <c r="V10" i="17" a="1"/>
  <c r="V10" i="17" s="1"/>
  <c r="U27" i="17" a="1"/>
  <c r="U27" i="17" s="1"/>
  <c r="T39" i="17" a="1"/>
  <c r="T39" i="17" s="1"/>
  <c r="T3" i="17" a="1"/>
  <c r="T3" i="17" s="1"/>
  <c r="S51" i="17" a="1"/>
  <c r="S51" i="17" s="1"/>
  <c r="S39" i="17" a="1"/>
  <c r="S39" i="17" s="1"/>
  <c r="S27" i="17" a="1"/>
  <c r="S27" i="17" s="1"/>
  <c r="S15" i="17" a="1"/>
  <c r="S15" i="17" s="1"/>
  <c r="S3" i="17" a="1"/>
  <c r="S3" i="17" s="1"/>
  <c r="R51" i="17" a="1"/>
  <c r="R51" i="17" s="1"/>
  <c r="R39" i="17" a="1"/>
  <c r="R39" i="17" s="1"/>
  <c r="R27" i="17" a="1"/>
  <c r="R27" i="17" s="1"/>
  <c r="R15" i="17" a="1"/>
  <c r="R15" i="17" s="1"/>
  <c r="R3" i="17" a="1"/>
  <c r="R3" i="17" s="1"/>
  <c r="O51" i="17" a="1"/>
  <c r="O51" i="17" s="1"/>
  <c r="O39" i="17" a="1"/>
  <c r="O39" i="17" s="1"/>
  <c r="O27" i="17" a="1"/>
  <c r="O27" i="17" s="1"/>
  <c r="O15" i="17" a="1"/>
  <c r="O15" i="17" s="1"/>
  <c r="O3" i="17" a="1"/>
  <c r="O3" i="17" s="1"/>
  <c r="N51" i="17" a="1"/>
  <c r="N51" i="17" s="1"/>
  <c r="N39" i="17" a="1"/>
  <c r="N39" i="17" s="1"/>
  <c r="N27" i="17" a="1"/>
  <c r="N27" i="17" s="1"/>
  <c r="N15" i="17" a="1"/>
  <c r="N15" i="17" s="1"/>
  <c r="Q43" i="17"/>
  <c r="W43" i="17" s="1"/>
  <c r="V21" i="17" a="1"/>
  <c r="V21" i="17" s="1"/>
  <c r="V13" i="17" a="1"/>
  <c r="V13" i="17" s="1"/>
  <c r="T43" i="17" a="1"/>
  <c r="T43" i="17" s="1"/>
  <c r="X19" i="17" a="1"/>
  <c r="X19" i="17" s="1"/>
  <c r="Y19" i="17" s="1"/>
  <c r="Q19" i="17" s="1"/>
  <c r="W19" i="17" s="1"/>
  <c r="X28" i="17" a="1"/>
  <c r="X28" i="17" s="1"/>
  <c r="Y28" i="17" s="1"/>
  <c r="Q28" i="17" s="1"/>
  <c r="W28" i="17" s="1"/>
  <c r="U53" i="17" a="1"/>
  <c r="U53" i="17" s="1"/>
  <c r="X7" i="17" a="1"/>
  <c r="X7" i="17" s="1"/>
  <c r="Y7" i="17" s="1"/>
  <c r="V11" i="17" a="1"/>
  <c r="V11" i="17" s="1"/>
  <c r="U16" i="17" a="1"/>
  <c r="U16" i="17" s="1"/>
  <c r="X16" i="17" a="1"/>
  <c r="X16" i="17" s="1"/>
  <c r="Y16" i="17" s="1"/>
  <c r="Q16" i="17" s="1"/>
  <c r="W16" i="17" s="1"/>
  <c r="V26" i="17" a="1"/>
  <c r="V26" i="17" s="1"/>
  <c r="U39" i="17" a="1"/>
  <c r="U39" i="17" s="1"/>
  <c r="T51" i="17" a="1"/>
  <c r="T51" i="17" s="1"/>
  <c r="X15" i="17" a="1"/>
  <c r="X15" i="17" s="1"/>
  <c r="Y15" i="17" s="1"/>
  <c r="V35" i="17" a="1"/>
  <c r="V35" i="17" s="1"/>
  <c r="U38" i="17" a="1"/>
  <c r="U38" i="17" s="1"/>
  <c r="T50" i="17" a="1"/>
  <c r="T50" i="17" s="1"/>
  <c r="T14" i="17" a="1"/>
  <c r="T14" i="17" s="1"/>
  <c r="S38" i="17" a="1"/>
  <c r="S38" i="17" s="1"/>
  <c r="S14" i="17" a="1"/>
  <c r="S14" i="17" s="1"/>
  <c r="R50" i="17" a="1"/>
  <c r="R50" i="17" s="1"/>
  <c r="R26" i="17" a="1"/>
  <c r="R26" i="17" s="1"/>
  <c r="R14" i="17" a="1"/>
  <c r="R14" i="17" s="1"/>
  <c r="R2" i="17" a="1"/>
  <c r="R2" i="17" s="1"/>
  <c r="O50" i="17" a="1"/>
  <c r="O50" i="17" s="1"/>
  <c r="O38" i="17" a="1"/>
  <c r="O38" i="17" s="1"/>
  <c r="O26" i="17" a="1"/>
  <c r="O26" i="17" s="1"/>
  <c r="O14" i="17" a="1"/>
  <c r="O14" i="17" s="1"/>
  <c r="O2" i="17" a="1"/>
  <c r="O2" i="17" s="1"/>
  <c r="Q2" i="17" s="1"/>
  <c r="W2" i="17" s="1"/>
  <c r="N50" i="17" a="1"/>
  <c r="N50" i="17" s="1"/>
  <c r="N38" i="17" a="1"/>
  <c r="N38" i="17" s="1"/>
  <c r="N26" i="17" a="1"/>
  <c r="N26" i="17" s="1"/>
  <c r="N14" i="17" a="1"/>
  <c r="N14" i="17" s="1"/>
  <c r="V30" i="17" a="1"/>
  <c r="V30" i="17" s="1"/>
  <c r="U19" i="17" a="1"/>
  <c r="U19" i="17" s="1"/>
  <c r="S43" i="17" a="1"/>
  <c r="S43" i="17" s="1"/>
  <c r="X40" i="17" a="1"/>
  <c r="X40" i="17" s="1"/>
  <c r="Y40" i="17" s="1"/>
  <c r="Q40" i="17" s="1"/>
  <c r="W40" i="17" s="1"/>
  <c r="V12" i="17" a="1"/>
  <c r="V12" i="17" s="1"/>
  <c r="X17" i="17" a="1"/>
  <c r="X17" i="17" s="1"/>
  <c r="Y17" i="17" s="1"/>
  <c r="Q17" i="17" s="1"/>
  <c r="W17" i="17" s="1"/>
  <c r="V19" i="17" a="1"/>
  <c r="V19" i="17" s="1"/>
  <c r="U40" i="17" a="1"/>
  <c r="U40" i="17" s="1"/>
  <c r="X26" i="17" a="1"/>
  <c r="X26" i="17" s="1"/>
  <c r="Y26" i="17" s="1"/>
  <c r="V36" i="17" a="1"/>
  <c r="V36" i="17" s="1"/>
  <c r="U51" i="17" a="1"/>
  <c r="U51" i="17" s="1"/>
  <c r="U3" i="17" a="1"/>
  <c r="U3" i="17" s="1"/>
  <c r="T15" i="17" a="1"/>
  <c r="T15" i="17" s="1"/>
  <c r="X5" i="17" a="1"/>
  <c r="X5" i="17" s="1"/>
  <c r="Y5" i="17" s="1"/>
  <c r="Q5" i="17" s="1"/>
  <c r="W5" i="17" s="1"/>
  <c r="V44" i="17" a="1"/>
  <c r="V44" i="17" s="1"/>
  <c r="U50" i="17" a="1"/>
  <c r="U50" i="17" s="1"/>
  <c r="U14" i="17" a="1"/>
  <c r="U14" i="17" s="1"/>
  <c r="T38" i="17" a="1"/>
  <c r="T38" i="17" s="1"/>
  <c r="T2" i="17" a="1"/>
  <c r="T2" i="17" s="1"/>
  <c r="S26" i="17" a="1"/>
  <c r="S26" i="17" s="1"/>
  <c r="S2" i="17" a="1"/>
  <c r="S2" i="17" s="1"/>
  <c r="R38" i="17" a="1"/>
  <c r="R38" i="17" s="1"/>
  <c r="X60" i="17" a="1"/>
  <c r="X60" i="17" s="1"/>
  <c r="Y60" i="17" s="1"/>
  <c r="X48" i="17" a="1"/>
  <c r="X48" i="17" s="1"/>
  <c r="Y48" i="17" s="1"/>
  <c r="X36" i="17" a="1"/>
  <c r="X36" i="17" s="1"/>
  <c r="Y36" i="17" s="1"/>
  <c r="X25" i="17" a="1"/>
  <c r="X25" i="17" s="1"/>
  <c r="Y25" i="17" s="1"/>
  <c r="X14" i="17" a="1"/>
  <c r="X14" i="17" s="1"/>
  <c r="Y14" i="17" s="1"/>
  <c r="X4" i="17" a="1"/>
  <c r="X4" i="17" s="1"/>
  <c r="Y4" i="17" s="1"/>
  <c r="Q4" i="17" s="1"/>
  <c r="W4" i="17" s="1"/>
  <c r="V54" i="17" a="1"/>
  <c r="V54" i="17" s="1"/>
  <c r="V34" i="17" a="1"/>
  <c r="V34" i="17" s="1"/>
  <c r="V25" i="17" a="1"/>
  <c r="V25" i="17" s="1"/>
  <c r="V17" i="17" a="1"/>
  <c r="V17" i="17" s="1"/>
  <c r="V9" i="17" a="1"/>
  <c r="V9" i="17" s="1"/>
  <c r="U61" i="17" a="1"/>
  <c r="U61" i="17" s="1"/>
  <c r="U49" i="17" a="1"/>
  <c r="U49" i="17" s="1"/>
  <c r="U37" i="17" a="1"/>
  <c r="U37" i="17" s="1"/>
  <c r="U25" i="17" a="1"/>
  <c r="U25" i="17" s="1"/>
  <c r="U13" i="17" a="1"/>
  <c r="U13" i="17" s="1"/>
  <c r="T61" i="17" a="1"/>
  <c r="T61" i="17" s="1"/>
  <c r="T49" i="17" a="1"/>
  <c r="T49" i="17" s="1"/>
  <c r="T37" i="17" a="1"/>
  <c r="T37" i="17" s="1"/>
  <c r="T25" i="17" a="1"/>
  <c r="T25" i="17" s="1"/>
  <c r="T13" i="17" a="1"/>
  <c r="T13" i="17" s="1"/>
  <c r="S61" i="17" a="1"/>
  <c r="S61" i="17" s="1"/>
  <c r="S49" i="17" a="1"/>
  <c r="S49" i="17" s="1"/>
  <c r="S37" i="17" a="1"/>
  <c r="S37" i="17" s="1"/>
  <c r="S25" i="17" a="1"/>
  <c r="S25" i="17" s="1"/>
  <c r="S13" i="17" a="1"/>
  <c r="S13" i="17" s="1"/>
  <c r="R61" i="17" a="1"/>
  <c r="R61" i="17" s="1"/>
  <c r="R49" i="17" a="1"/>
  <c r="R49" i="17" s="1"/>
  <c r="R37" i="17" a="1"/>
  <c r="R37" i="17" s="1"/>
  <c r="R25" i="17" a="1"/>
  <c r="R25" i="17" s="1"/>
  <c r="R13" i="17" a="1"/>
  <c r="R13" i="17" s="1"/>
  <c r="O61" i="17" a="1"/>
  <c r="O61" i="17" s="1"/>
  <c r="Q61" i="17" s="1"/>
  <c r="W61" i="17" s="1"/>
  <c r="O49" i="17" a="1"/>
  <c r="O49" i="17" s="1"/>
  <c r="Q49" i="17" s="1"/>
  <c r="W49" i="17" s="1"/>
  <c r="O37" i="17" a="1"/>
  <c r="O37" i="17" s="1"/>
  <c r="Q37" i="17" s="1"/>
  <c r="W37" i="17" s="1"/>
  <c r="O25" i="17" a="1"/>
  <c r="O25" i="17" s="1"/>
  <c r="O13" i="17" a="1"/>
  <c r="O13" i="17" s="1"/>
  <c r="N61" i="17" a="1"/>
  <c r="N61" i="17" s="1"/>
  <c r="N49" i="17" a="1"/>
  <c r="N49" i="17" s="1"/>
  <c r="N37" i="17" a="1"/>
  <c r="N37" i="17" s="1"/>
  <c r="N25" i="17" a="1"/>
  <c r="N25" i="17" s="1"/>
  <c r="N13" i="17" a="1"/>
  <c r="N13" i="17" s="1"/>
  <c r="X54" i="17" a="1"/>
  <c r="X54" i="17" s="1"/>
  <c r="Y54" i="17" s="1"/>
  <c r="Q54" i="17" s="1"/>
  <c r="W54" i="17" s="1"/>
  <c r="V5" i="17" a="1"/>
  <c r="V5" i="17" s="1"/>
  <c r="T31" i="17" a="1"/>
  <c r="T31" i="17" s="1"/>
  <c r="X29" i="17" a="1"/>
  <c r="X29" i="17" s="1"/>
  <c r="Y29" i="17" s="1"/>
  <c r="Q29" i="17" s="1"/>
  <c r="W29" i="17" s="1"/>
  <c r="X52" i="17" a="1"/>
  <c r="X52" i="17" s="1"/>
  <c r="Y52" i="17" s="1"/>
  <c r="Q52" i="17" s="1"/>
  <c r="W52" i="17" s="1"/>
  <c r="V47" i="17" a="1"/>
  <c r="V47" i="17" s="1"/>
  <c r="X39" i="17" a="1"/>
  <c r="X39" i="17" s="1"/>
  <c r="Y39" i="17" s="1"/>
  <c r="V46" i="17" a="1"/>
  <c r="V46" i="17" s="1"/>
  <c r="U52" i="17" a="1"/>
  <c r="U52" i="17" s="1"/>
  <c r="X50" i="17" a="1"/>
  <c r="X50" i="17" s="1"/>
  <c r="Y50" i="17" s="1"/>
  <c r="Q50" i="17" s="1"/>
  <c r="W50" i="17" s="1"/>
  <c r="X6" i="17" a="1"/>
  <c r="X6" i="17" s="1"/>
  <c r="Y6" i="17" s="1"/>
  <c r="V2" i="17" a="1"/>
  <c r="V2" i="17" s="1"/>
  <c r="U15" i="17" a="1"/>
  <c r="U15" i="17" s="1"/>
  <c r="T27" i="17" a="1"/>
  <c r="T27" i="17" s="1"/>
  <c r="V55" i="17" a="1"/>
  <c r="V55" i="17" s="1"/>
  <c r="V18" i="17" a="1"/>
  <c r="V18" i="17" s="1"/>
  <c r="U26" i="17" a="1"/>
  <c r="U26" i="17" s="1"/>
  <c r="U2" i="17" a="1"/>
  <c r="U2" i="17" s="1"/>
  <c r="T26" i="17" a="1"/>
  <c r="T26" i="17" s="1"/>
  <c r="S50" i="17" a="1"/>
  <c r="S50" i="17" s="1"/>
  <c r="X59" i="17" a="1"/>
  <c r="X59" i="17" s="1"/>
  <c r="Y59" i="17" s="1"/>
  <c r="X47" i="17" a="1"/>
  <c r="X47" i="17" s="1"/>
  <c r="Y47" i="17" s="1"/>
  <c r="X35" i="17" a="1"/>
  <c r="X35" i="17" s="1"/>
  <c r="Y35" i="17" s="1"/>
  <c r="X24" i="17" a="1"/>
  <c r="X24" i="17" s="1"/>
  <c r="Y24" i="17" s="1"/>
  <c r="X3" i="17" a="1"/>
  <c r="X3" i="17" s="1"/>
  <c r="Y3" i="17" s="1"/>
  <c r="Q3" i="17" s="1"/>
  <c r="W3" i="17" s="1"/>
  <c r="V53" i="17" a="1"/>
  <c r="V53" i="17" s="1"/>
  <c r="V43" i="17" a="1"/>
  <c r="V43" i="17" s="1"/>
  <c r="V33" i="17" a="1"/>
  <c r="V33" i="17" s="1"/>
  <c r="V16" i="17" a="1"/>
  <c r="V16" i="17" s="1"/>
  <c r="V8" i="17" a="1"/>
  <c r="V8" i="17" s="1"/>
  <c r="U60" i="17" a="1"/>
  <c r="U60" i="17" s="1"/>
  <c r="U48" i="17" a="1"/>
  <c r="U48" i="17" s="1"/>
  <c r="U36" i="17" a="1"/>
  <c r="U36" i="17" s="1"/>
  <c r="U24" i="17" a="1"/>
  <c r="U24" i="17" s="1"/>
  <c r="U12" i="17" a="1"/>
  <c r="U12" i="17" s="1"/>
  <c r="T60" i="17" a="1"/>
  <c r="T60" i="17" s="1"/>
  <c r="T48" i="17" a="1"/>
  <c r="T48" i="17" s="1"/>
  <c r="T36" i="17" a="1"/>
  <c r="T36" i="17" s="1"/>
  <c r="T24" i="17" a="1"/>
  <c r="T24" i="17" s="1"/>
  <c r="T12" i="17" a="1"/>
  <c r="T12" i="17" s="1"/>
  <c r="S60" i="17" a="1"/>
  <c r="S60" i="17" s="1"/>
  <c r="S48" i="17" a="1"/>
  <c r="S48" i="17" s="1"/>
  <c r="S36" i="17" a="1"/>
  <c r="S36" i="17" s="1"/>
  <c r="S24" i="17" a="1"/>
  <c r="S24" i="17" s="1"/>
  <c r="S12" i="17" a="1"/>
  <c r="S12" i="17" s="1"/>
  <c r="R60" i="17" a="1"/>
  <c r="R60" i="17" s="1"/>
  <c r="R48" i="17" a="1"/>
  <c r="R48" i="17" s="1"/>
  <c r="R36" i="17" a="1"/>
  <c r="R36" i="17" s="1"/>
  <c r="R24" i="17" a="1"/>
  <c r="R24" i="17" s="1"/>
  <c r="R12" i="17" a="1"/>
  <c r="R12" i="17" s="1"/>
  <c r="O60" i="17" a="1"/>
  <c r="O60" i="17" s="1"/>
  <c r="O48" i="17" a="1"/>
  <c r="O48" i="17" s="1"/>
  <c r="O36" i="17" a="1"/>
  <c r="O36" i="17" s="1"/>
  <c r="O24" i="17" a="1"/>
  <c r="O24" i="17" s="1"/>
  <c r="O12" i="17" a="1"/>
  <c r="O12" i="17" s="1"/>
  <c r="U59" i="17" a="1"/>
  <c r="U59" i="17" s="1"/>
  <c r="U47" i="17" a="1"/>
  <c r="U47" i="17" s="1"/>
  <c r="U35" i="17" a="1"/>
  <c r="U35" i="17" s="1"/>
  <c r="U23" i="17" a="1"/>
  <c r="U23" i="17" s="1"/>
  <c r="U11" i="17" a="1"/>
  <c r="U11" i="17" s="1"/>
  <c r="T59" i="17" a="1"/>
  <c r="T59" i="17" s="1"/>
  <c r="T47" i="17" a="1"/>
  <c r="T47" i="17" s="1"/>
  <c r="T35" i="17" a="1"/>
  <c r="T35" i="17" s="1"/>
  <c r="T23" i="17" a="1"/>
  <c r="T23" i="17" s="1"/>
  <c r="T11" i="17" a="1"/>
  <c r="T11" i="17" s="1"/>
  <c r="S59" i="17" a="1"/>
  <c r="S59" i="17" s="1"/>
  <c r="S47" i="17" a="1"/>
  <c r="S47" i="17" s="1"/>
  <c r="S35" i="17" a="1"/>
  <c r="S35" i="17" s="1"/>
  <c r="S23" i="17" a="1"/>
  <c r="S23" i="17" s="1"/>
  <c r="S11" i="17" a="1"/>
  <c r="S11" i="17" s="1"/>
  <c r="R59" i="17" a="1"/>
  <c r="R59" i="17" s="1"/>
  <c r="R47" i="17" a="1"/>
  <c r="R47" i="17" s="1"/>
  <c r="R35" i="17" a="1"/>
  <c r="R35" i="17" s="1"/>
  <c r="R23" i="17" a="1"/>
  <c r="R23" i="17" s="1"/>
  <c r="R11" i="17" a="1"/>
  <c r="R11" i="17" s="1"/>
  <c r="O59" i="17" a="1"/>
  <c r="O59" i="17" s="1"/>
  <c r="O47" i="17" a="1"/>
  <c r="O47" i="17" s="1"/>
  <c r="O35" i="17" a="1"/>
  <c r="O35" i="17" s="1"/>
  <c r="O23" i="17" a="1"/>
  <c r="O23" i="17" s="1"/>
  <c r="Q23" i="17" s="1"/>
  <c r="W23" i="17" s="1"/>
  <c r="O11" i="17" a="1"/>
  <c r="O11" i="17" s="1"/>
  <c r="Q11" i="17" s="1"/>
  <c r="W11" i="17" s="1"/>
  <c r="N59" i="17" a="1"/>
  <c r="N59" i="17" s="1"/>
  <c r="N47" i="17" a="1"/>
  <c r="N47" i="17" s="1"/>
  <c r="N35" i="17" a="1"/>
  <c r="N35" i="17" s="1"/>
  <c r="N23" i="17" a="1"/>
  <c r="N23" i="17" s="1"/>
  <c r="N6" i="17" a="1"/>
  <c r="N6" i="17" s="1"/>
  <c r="N2" i="17" a="1"/>
  <c r="N2" i="17" s="1"/>
  <c r="Q12" i="17"/>
  <c r="W12" i="17" s="1"/>
  <c r="U46" i="17" a="1"/>
  <c r="U46" i="17" s="1"/>
  <c r="U34" i="17" a="1"/>
  <c r="U34" i="17" s="1"/>
  <c r="U22" i="17" a="1"/>
  <c r="U22" i="17" s="1"/>
  <c r="U10" i="17" a="1"/>
  <c r="U10" i="17" s="1"/>
  <c r="T58" i="17" a="1"/>
  <c r="T58" i="17" s="1"/>
  <c r="T46" i="17" a="1"/>
  <c r="T46" i="17" s="1"/>
  <c r="T34" i="17" a="1"/>
  <c r="T34" i="17" s="1"/>
  <c r="T22" i="17" a="1"/>
  <c r="T22" i="17" s="1"/>
  <c r="T10" i="17" a="1"/>
  <c r="T10" i="17" s="1"/>
  <c r="S58" i="17" a="1"/>
  <c r="S58" i="17" s="1"/>
  <c r="S46" i="17" a="1"/>
  <c r="S46" i="17" s="1"/>
  <c r="S34" i="17" a="1"/>
  <c r="S34" i="17" s="1"/>
  <c r="S22" i="17" a="1"/>
  <c r="S22" i="17" s="1"/>
  <c r="S10" i="17" a="1"/>
  <c r="S10" i="17" s="1"/>
  <c r="R58" i="17" a="1"/>
  <c r="R58" i="17" s="1"/>
  <c r="R46" i="17" a="1"/>
  <c r="R46" i="17" s="1"/>
  <c r="R34" i="17" a="1"/>
  <c r="R34" i="17" s="1"/>
  <c r="R22" i="17" a="1"/>
  <c r="R22" i="17" s="1"/>
  <c r="R10" i="17" a="1"/>
  <c r="R10" i="17" s="1"/>
  <c r="O58" i="17" a="1"/>
  <c r="O58" i="17" s="1"/>
  <c r="Q58" i="17" s="1"/>
  <c r="W58" i="17" s="1"/>
  <c r="O46" i="17" a="1"/>
  <c r="O46" i="17" s="1"/>
  <c r="Q46" i="17" s="1"/>
  <c r="W46" i="17" s="1"/>
  <c r="O34" i="17" a="1"/>
  <c r="O34" i="17" s="1"/>
  <c r="Q34" i="17" s="1"/>
  <c r="W34" i="17" s="1"/>
  <c r="O22" i="17" a="1"/>
  <c r="O22" i="17" s="1"/>
  <c r="Q22" i="17" s="1"/>
  <c r="W22" i="17" s="1"/>
  <c r="O10" i="17" a="1"/>
  <c r="O10" i="17" s="1"/>
  <c r="Q10" i="17" s="1"/>
  <c r="W10" i="17" s="1"/>
  <c r="N58" i="17" a="1"/>
  <c r="N58" i="17" s="1"/>
  <c r="N46" i="17" a="1"/>
  <c r="N46" i="17" s="1"/>
  <c r="N34" i="17" a="1"/>
  <c r="N34" i="17" s="1"/>
  <c r="N22" i="17" a="1"/>
  <c r="N22" i="17" s="1"/>
  <c r="N4" i="17" a="1"/>
  <c r="N4" i="17" s="1"/>
  <c r="U33" i="17" a="1"/>
  <c r="U33" i="17" s="1"/>
  <c r="U21" i="17" a="1"/>
  <c r="U21" i="17" s="1"/>
  <c r="U9" i="17" a="1"/>
  <c r="U9" i="17" s="1"/>
  <c r="T57" i="17" a="1"/>
  <c r="T57" i="17" s="1"/>
  <c r="T45" i="17" a="1"/>
  <c r="T45" i="17" s="1"/>
  <c r="T33" i="17" a="1"/>
  <c r="T33" i="17" s="1"/>
  <c r="T21" i="17" a="1"/>
  <c r="T21" i="17" s="1"/>
  <c r="T9" i="17" a="1"/>
  <c r="T9" i="17" s="1"/>
  <c r="S57" i="17" a="1"/>
  <c r="S57" i="17" s="1"/>
  <c r="S45" i="17" a="1"/>
  <c r="S45" i="17" s="1"/>
  <c r="S33" i="17" a="1"/>
  <c r="S33" i="17" s="1"/>
  <c r="S21" i="17" a="1"/>
  <c r="S21" i="17" s="1"/>
  <c r="S9" i="17" a="1"/>
  <c r="S9" i="17" s="1"/>
  <c r="R57" i="17" a="1"/>
  <c r="R57" i="17" s="1"/>
  <c r="R45" i="17" a="1"/>
  <c r="R45" i="17" s="1"/>
  <c r="R33" i="17" a="1"/>
  <c r="R33" i="17" s="1"/>
  <c r="R21" i="17" a="1"/>
  <c r="R21" i="17" s="1"/>
  <c r="O57" i="17" a="1"/>
  <c r="O57" i="17" s="1"/>
  <c r="Q57" i="17" s="1"/>
  <c r="W57" i="17" s="1"/>
  <c r="O45" i="17" a="1"/>
  <c r="O45" i="17" s="1"/>
  <c r="Q45" i="17" s="1"/>
  <c r="W45" i="17" s="1"/>
  <c r="O33" i="17" a="1"/>
  <c r="O33" i="17" s="1"/>
  <c r="Q33" i="17" s="1"/>
  <c r="W33" i="17" s="1"/>
  <c r="O21" i="17" a="1"/>
  <c r="O21" i="17" s="1"/>
  <c r="Q21" i="17" s="1"/>
  <c r="W21" i="17" s="1"/>
  <c r="O9" i="17" a="1"/>
  <c r="O9" i="17" s="1"/>
  <c r="N57" i="17" a="1"/>
  <c r="N57" i="17" s="1"/>
  <c r="N45" i="17" a="1"/>
  <c r="N45" i="17" s="1"/>
  <c r="N33" i="17" a="1"/>
  <c r="N33" i="17" s="1"/>
  <c r="N21" i="17" a="1"/>
  <c r="N21" i="17" s="1"/>
  <c r="N12" i="17" a="1"/>
  <c r="N12" i="17" s="1"/>
  <c r="N11" i="17" a="1"/>
  <c r="N11" i="17" s="1"/>
  <c r="N9" i="17" a="1"/>
  <c r="N9" i="17" s="1"/>
  <c r="N8" i="17" a="1"/>
  <c r="N8" i="17" s="1"/>
  <c r="N7" i="17" a="1"/>
  <c r="N7" i="17" s="1"/>
  <c r="N5" i="17" a="1"/>
  <c r="N5" i="17" s="1"/>
  <c r="Q15" i="17" l="1"/>
  <c r="W15" i="17" s="1"/>
  <c r="Q14" i="17"/>
  <c r="W14" i="17" s="1"/>
  <c r="Q6" i="17"/>
  <c r="W6" i="17" s="1"/>
  <c r="Q30" i="17"/>
  <c r="W30" i="17" s="1"/>
  <c r="Q20" i="17"/>
  <c r="W20" i="17" s="1"/>
  <c r="Q39" i="17"/>
  <c r="W39" i="17" s="1"/>
  <c r="Q13" i="17"/>
  <c r="W13" i="17" s="1"/>
  <c r="Q7" i="17"/>
  <c r="W7" i="17" s="1"/>
  <c r="Q26" i="17"/>
  <c r="W26" i="17" s="1"/>
  <c r="Q25" i="17"/>
  <c r="W25" i="17" s="1"/>
  <c r="Q48" i="17"/>
  <c r="W48" i="17" s="1"/>
  <c r="Q60" i="17"/>
  <c r="W60" i="17" s="1"/>
  <c r="Q38" i="17"/>
  <c r="W38" i="17" s="1"/>
  <c r="Q51" i="17"/>
  <c r="W51" i="17" s="1"/>
  <c r="Q18" i="17"/>
  <c r="W18" i="17" s="1"/>
  <c r="Q53" i="17"/>
  <c r="W53" i="17" s="1"/>
  <c r="Q27" i="17"/>
  <c r="W27" i="17" s="1"/>
  <c r="Q9" i="17"/>
  <c r="W9" i="17" s="1"/>
  <c r="Q24" i="17"/>
  <c r="W24" i="17" s="1"/>
  <c r="Q35" i="17"/>
  <c r="W35" i="17" s="1"/>
  <c r="Q47" i="17"/>
  <c r="W47" i="17" s="1"/>
  <c r="Q59" i="17"/>
  <c r="W59" i="17" s="1"/>
  <c r="Q36" i="17"/>
  <c r="W36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public\documents\rockwell software\arena\reports\model statistics.xlsm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public\documents\rockwell software\arena\reports\model statistics.xlsm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public\documents\rockwell software\arena\reports\model statistics.xlsm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public\documents\rockwell software\arena\reports\model statistics.xlsm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public\documents\rockwell software\arena\reports\model statistics.xlsm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public\documents\rockwell software\arena\reports\model statistics.xlsm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<sst xmlns="http://schemas.openxmlformats.org/spreadsheetml/2006/main" count="177" uniqueCount="71">
  <si>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</si>
  <si>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</si>
  <si>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</si>
  <si>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</si>
  <si>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</si>
  <si>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</si>
  <si>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</si>
  <si>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</si>
  <si>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</si>
  <si>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</si>
  <si>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</si>
  <si>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</si>
  <si>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</si>
  <si>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</si>
  <si>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</si>
  <si>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</si>
  <si>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</si>
  <si>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</si>
  <si>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</si>
  <si>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</si>
  <si>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</si>
  <si>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</si>
  <si>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</si>
  <si>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</si>
  <si>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</si>
  <si>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</si>
  <si>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</si>
  <si>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</si>
  <si>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</si>
  <si>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</si>
  <si>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</si>
  <si>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</si>
  <si>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</si>
  <si>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</si>
  <si>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</si>
  <si>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</si>
  <si>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</si>
  <si>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</si>
  <si>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</si>
  <si>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</si>
  <si>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</si>
  <si>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</si>
  <si>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</si>
  <si>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</si>
  <si>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</si>
  <si>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</si>
  <si>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</si>
  <si>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</si>
  <si>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</si>
  <si>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</si>
  <si>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</si>
  <si>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</si>
  <si>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</si>
  <si>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</si>
  <si>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</si>
  <si>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</si>
  <si>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</si>
  <si>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</si>
  <si>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</si>
  <si>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</si>
  <si>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</si>
  <si>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</si>
  <si>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</si>
  <si>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</si>
  <si>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</si>
  <si>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</si>
  <si>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</si>
  <si>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</si>
  <si>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2023-03-17 12:39:00</t>
  </si>
  <si>
    <t>IncludeOption</t>
  </si>
  <si>
    <t>C:\Model.p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</si>
</sst>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7">
    <dxf>
      <numFmt numFmtId="0" formatCode="General"/>
    </dxf>
    <dxf>
      <numFmt numFmtId="0" formatCode="General"/>
    </dxf>
    <dxf>
      <numFmt numFmtId="0" formatCode="General"/>
    </dxf>
    <dxf>
      <numFmt numFmtId="164" formatCode="[=400000000000000000000]&quot;Null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4" formatCode="0.00%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ynthia Kasales" refreshedDate="45322.669993171294" createdVersion="7" refreshedVersion="8" minRefreshableVersion="3" recordCount="30" xr:uid="{CD99054F-849B-4F05-A210-6C45A1A34EDA}">
  <cacheSource type="worksheet">
    <worksheetSource name="OutputTable"/>
  </cacheSource>
  <cacheFields count="16">
    <cacheField name="ProjectName" numFmtId="0">
      <sharedItems containsNonDate="0" containsBlank="1" count="4">
        <m/>
        <s v="Assembly Line" u="1"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9">
        <m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System.NumberOut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NonDate="0" containsBlank="1" count="7">
        <m/>
        <s v="Number In" u="1"/>
        <s v="Scheduled Utilization" u="1"/>
        <s v="Total Number Seized" u="1"/>
        <s v="Accum VA Time" u="1"/>
        <s v="Number Out" u="1"/>
        <s v="Accum Wait Time" u="1"/>
      </sharedItems>
    </cacheField>
    <cacheField name="Source" numFmtId="0">
      <sharedItems containsNonDate="0" containsBlank="1" count="5">
        <m/>
        <s v="System" u="1"/>
        <s v="Resource" u="1"/>
        <s v="Process" u="1"/>
        <s v="Entity" u="1"/>
      </sharedItems>
    </cacheField>
    <cacheField name="RecordedValue" numFmtId="0">
      <sharedItems containsNonDate="0" containsString="0" containsBlank="1"/>
    </cacheField>
    <cacheField name="IsPeriodic" numFmtId="0">
      <sharedItems containsNonDate="0" containsString="0" containsBlank="1"/>
    </cacheField>
    <cacheField name="GroupByKey" numFmtId="0">
      <sharedItems/>
    </cacheField>
    <cacheField name="RepsRequested" numFmtId="0">
      <sharedItems containsSemiMixedTypes="0" containsString="0" containsNumber="1" containsInteger="1" minValue="0" maxValue="0"/>
    </cacheField>
    <cacheField name="Average" numFmtId="0">
      <sharedItems containsSemiMixedTypes="0" containsString="0" containsNumber="1" containsInteger="1" minValue="0" maxValue="0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containsInteger="1" minValue="0" maxValue="0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ynthia Kasales" refreshedDate="45322.669993634256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ynthia Kasales" refreshedDate="45322.669993750002" createdVersion="7" refreshedVersion="8" minRefreshableVersion="3" recordCount="10" xr:uid="{98BDAE34-4484-421D-B96E-804CE77A1811}">
  <cacheSource type="worksheet">
    <worksheetSource name="ContinuousStatsTable"/>
  </cacheSource>
  <cacheFields count="21">
    <cacheField name="ProjectName" numFmtId="0">
      <sharedItems containsNonDate="0" containsBlank="1" count="4">
        <m/>
        <s v="Assembly Line" u="1"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124">
        <m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NonDate="0" containsBlank="1" count="7">
        <m/>
        <s v="WIP" u="1"/>
        <s v="Number Scheduled" u="1"/>
        <s v="Number Busy" u="1"/>
        <s v="Levels" u="1"/>
        <s v="Instantaneous Utilization" u="1"/>
        <s v="Number Waiting" u="1"/>
      </sharedItems>
    </cacheField>
    <cacheField name="Source" numFmtId="0">
      <sharedItems containsNonDate="0" containsBlank="1" count="5">
        <m/>
        <s v="Queue" u="1"/>
        <s v="Resource" u="1"/>
        <s v="Entity" u="1"/>
        <s v="User Specified" u="1"/>
      </sharedItems>
    </cacheField>
    <cacheField name="Average" numFmtId="0">
      <sharedItems containsNonDate="0" containsString="0" containsBlank="1"/>
    </cacheField>
    <cacheField name="BatchMeans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  <cacheField name="LastRecordedValue" numFmtId="0">
      <sharedItems containsNonDate="0" containsString="0" containsBlank="1"/>
    </cacheField>
    <cacheField name="IsPeriodic" numFmtId="0">
      <sharedItems containsNonDate="0" containsString="0" containsBlank="1"/>
    </cacheField>
    <cacheField name="GroupByKey" numFmtId="0">
      <sharedItems/>
    </cacheField>
    <cacheField name="RepsRequested" numFmtId="0">
      <sharedItems containsSemiMixedTypes="0" containsString="0" containsNumber="1" containsInteger="1" minValue="0" maxValue="0"/>
    </cacheField>
    <cacheField name="AverageOfAverage" numFmtId="0">
      <sharedItems containsSemiMixedTypes="0" containsString="0" containsNumber="1" containsInteger="1" minValue="0" maxValue="0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containsInteger="1" minValue="0" maxValue="0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containsInteger="1" minValue="0" maxValue="0"/>
    </cacheField>
    <cacheField name="MaximumAverage" numFmtId="0">
      <sharedItems containsSemiMixedTypes="0" containsString="0" containsNumber="1" containsInteger="1" minValue="0" maxValue="0"/>
    </cacheField>
    <cacheField name="SummaryHalfWidt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ynthia Kasales" refreshedDate="45322.669994097225" createdVersion="7" refreshedVersion="8" minRefreshableVersion="3" recordCount="46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/>
    </cacheField>
    <cacheField name="SummaryStandardPercentage" numFmtId="0">
      <sharedItems containsSemiMixedTypes="0" containsString="0" containsNumber="1" containsInteger="1" minValue="0" maxValue="0"/>
    </cacheField>
    <cacheField name="SummaryRestrictedPercentage" numFmtId="0">
      <sharedItems containsSemiMixedTypes="0" containsString="0" containsNumber="1" containsInteger="1" minValue="4E+20" maxValue="4E+20"/>
    </cacheField>
    <cacheField name="RepsRequested" numFmtId="0">
      <sharedItems containsSemiMixedTypes="0" containsString="0" containsNumber="1" containsInteger="1" minValue="0" maxValue="0"/>
    </cacheField>
    <cacheField name="AverageStandardPercentage" numFmtId="0">
      <sharedItems containsSemiMixedTypes="0" containsString="0" containsNumber="1" containsInteger="1" minValue="0" maxValue="0"/>
    </cacheField>
    <cacheField name="AverageRestrictedPercentage" numFmtId="0">
      <sharedItems containsSemiMixedTypes="0" containsString="0" containsNumber="1" containsInteger="1" minValue="4E+20" maxValue="4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ynthia Kasales" refreshedDate="45322.669994328702" createdVersion="7" refreshedVersion="8" minRefreshableVersion="3" recordCount="60" xr:uid="{B84A8B69-002E-494F-8DC0-5D2F7796C835}">
  <cacheSource type="worksheet">
    <worksheetSource name="DiscreteStatsTable"/>
  </cacheSource>
  <cacheFields count="25">
    <cacheField name="ProjectName" numFmtId="0">
      <sharedItems containsNonDate="0" containsBlank="1" count="4">
        <m/>
        <s v="Assembly Line" u="1"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99">
        <m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NonDate="0" containsBlank="1" count="12">
        <m/>
        <s v="Total Time Per Entity" u="1"/>
        <s v="NVA Time" u="1"/>
        <s v="VA Time Per Entity" u="1"/>
        <s v="Other Time" u="1"/>
        <s v="Wait Time Per Entity" u="1"/>
        <s v="Total Time" u="1"/>
        <s v="Transfer Time" u="1"/>
        <s v="Wait Time" u="1"/>
        <s v="VA Time" u="1"/>
        <s v="Interval" u="1"/>
        <s v="Waiting Time" u="1"/>
      </sharedItems>
    </cacheField>
    <cacheField name="Source" numFmtId="0">
      <sharedItems containsNonDate="0" containsBlank="1" count="5">
        <m/>
        <s v="Queue" u="1"/>
        <s v="Process" u="1"/>
        <s v="Entity" u="1"/>
        <s v="User Specified" u="1"/>
      </sharedItems>
    </cacheField>
    <cacheField name="Average" numFmtId="0">
      <sharedItems containsNonDate="0" containsString="0" containsBlank="1"/>
    </cacheField>
    <cacheField name="BatchMeans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  <cacheField name="NumberObservations" numFmtId="0">
      <sharedItems containsNonDate="0" containsString="0" containsBlank="1"/>
    </cacheField>
    <cacheField name="GroupByKey" numFmtId="0">
      <sharedItems/>
    </cacheField>
    <cacheField name="RepsRequested" numFmtId="0">
      <sharedItems containsSemiMixedTypes="0" containsString="0" containsNumber="1" containsInteger="1" minValue="0" maxValue="0"/>
    </cacheField>
    <cacheField name="AverageOfAverage" numFmtId="0">
      <sharedItems containsSemiMixedTypes="0" containsString="0" containsNumber="1" containsInteger="1" minValue="0" maxValue="0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containsInteger="1" minValue="0" maxValue="0"/>
    </cacheField>
    <cacheField name="HalfWidth" numFmtId="0">
      <sharedItems containsSemiMixedTypes="0" containsString="0" containsNumber="1" containsInteger="1" minValue="0" maxValue="0"/>
    </cacheField>
    <cacheField name="MinimumAverage" numFmtId="0">
      <sharedItems containsSemiMixedTypes="0" containsString="0" containsNumber="1" containsInteger="1" minValue="0" maxValue="0"/>
    </cacheField>
    <cacheField name="MaximumAverage" numFmtId="0">
      <sharedItems containsSemiMixedTypes="0" containsString="0" containsNumber="1" containsInteger="1" minValue="0" maxValue="0"/>
    </cacheField>
    <cacheField name="OverallMinimum" numFmtId="0">
      <sharedItems containsSemiMixedTypes="0" containsString="0" containsNumber="1" containsInteger="1" minValue="0" maxValue="0"/>
    </cacheField>
    <cacheField name="OverallMaximum" numFmtId="0">
      <sharedItems containsSemiMixedTypes="0" containsString="0" containsNumber="1" containsInteger="1" minValue="0" maxValue="0"/>
    </cacheField>
    <cacheField name="AverageNumberObservations" numFmtId="0">
      <sharedItems containsSemiMixedTypes="0" containsString="0" containsNumber="1" containsInteger="1" minValue="0" maxValue="0"/>
    </cacheField>
    <cacheField name="SummaryHalfWidth" numFmtId="0">
      <sharedItems containsSemiMixedTypes="0" containsString="0" containsNumber="1" containsInteger="1" minValue="0" maxValue="0"/>
    </cacheField>
    <cacheField name="RepsWithStatObserved" numFmtId="0">
      <sharedItems containsSemiMixedTypes="0" containsString="0" containsNumber="1" containsInteger="1" minValue="60" maxValue="60"/>
    </cacheField>
    <cacheField name="Observed=Requested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m/>
    <m/>
    <x v="0"/>
    <x v="0"/>
    <x v="0"/>
    <m/>
    <m/>
    <m/>
    <m/>
    <m/>
    <m/>
    <s v=""/>
    <n v="0"/>
    <n v="0"/>
    <n v="0"/>
    <n v="0"/>
    <n v="4E+20"/>
    <n v="0"/>
    <n v="0"/>
    <n v="0"/>
  </r>
  <r>
    <x v="0"/>
    <m/>
    <m/>
    <x v="0"/>
    <x v="0"/>
    <x v="0"/>
    <m/>
    <m/>
    <m/>
    <m/>
    <m/>
    <m/>
    <s v=""/>
    <n v="0"/>
    <n v="0"/>
    <n v="0"/>
    <n v="0"/>
    <n v="4E+20"/>
    <n v="0"/>
    <n v="0"/>
    <n v="0"/>
  </r>
  <r>
    <x v="0"/>
    <m/>
    <m/>
    <x v="0"/>
    <x v="0"/>
    <x v="0"/>
    <m/>
    <m/>
    <m/>
    <m/>
    <m/>
    <m/>
    <s v=""/>
    <n v="0"/>
    <n v="0"/>
    <n v="0"/>
    <n v="0"/>
    <n v="4E+20"/>
    <n v="0"/>
    <n v="0"/>
    <n v="0"/>
  </r>
  <r>
    <x v="0"/>
    <m/>
    <m/>
    <x v="0"/>
    <x v="0"/>
    <x v="0"/>
    <m/>
    <m/>
    <m/>
    <m/>
    <m/>
    <m/>
    <s v=""/>
    <n v="0"/>
    <n v="0"/>
    <n v="0"/>
    <n v="0"/>
    <n v="4E+20"/>
    <n v="0"/>
    <n v="0"/>
    <n v="0"/>
  </r>
  <r>
    <x v="0"/>
    <m/>
    <m/>
    <x v="0"/>
    <x v="0"/>
    <x v="0"/>
    <m/>
    <m/>
    <m/>
    <m/>
    <m/>
    <m/>
    <s v=""/>
    <n v="0"/>
    <n v="0"/>
    <n v="0"/>
    <n v="0"/>
    <n v="4E+20"/>
    <n v="0"/>
    <n v="0"/>
    <n v="0"/>
  </r>
  <r>
    <x v="0"/>
    <m/>
    <m/>
    <x v="0"/>
    <x v="0"/>
    <x v="0"/>
    <m/>
    <m/>
    <m/>
    <m/>
    <m/>
    <m/>
    <s v=""/>
    <n v="0"/>
    <n v="0"/>
    <n v="0"/>
    <n v="0"/>
    <n v="4E+20"/>
    <n v="0"/>
    <n v="0"/>
    <n v="0"/>
  </r>
  <r>
    <x v="0"/>
    <m/>
    <m/>
    <x v="0"/>
    <x v="0"/>
    <x v="0"/>
    <m/>
    <m/>
    <m/>
    <m/>
    <m/>
    <m/>
    <s v=""/>
    <n v="0"/>
    <n v="0"/>
    <n v="0"/>
    <n v="0"/>
    <n v="4E+20"/>
    <n v="0"/>
    <n v="0"/>
    <n v="0"/>
  </r>
  <r>
    <x v="0"/>
    <m/>
    <m/>
    <x v="0"/>
    <x v="0"/>
    <x v="0"/>
    <m/>
    <m/>
    <m/>
    <m/>
    <m/>
    <m/>
    <s v=""/>
    <n v="0"/>
    <n v="0"/>
    <n v="0"/>
    <n v="0"/>
    <n v="4E+20"/>
    <n v="0"/>
    <n v="0"/>
    <n v="0"/>
  </r>
  <r>
    <x v="0"/>
    <m/>
    <m/>
    <x v="0"/>
    <x v="0"/>
    <x v="0"/>
    <m/>
    <m/>
    <m/>
    <m/>
    <m/>
    <m/>
    <s v=""/>
    <n v="0"/>
    <n v="0"/>
    <n v="0"/>
    <n v="0"/>
    <n v="4E+20"/>
    <n v="0"/>
    <n v="0"/>
    <n v="0"/>
  </r>
  <r>
    <x v="0"/>
    <m/>
    <m/>
    <x v="0"/>
    <x v="0"/>
    <x v="0"/>
    <m/>
    <m/>
    <m/>
    <m/>
    <m/>
    <m/>
    <s v=""/>
    <n v="0"/>
    <n v="0"/>
    <n v="0"/>
    <n v="0"/>
    <n v="4E+20"/>
    <n v="0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8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3" firstHeaderRow="0" firstDataRow="1" firstDataCol="4"/>
  <pivotFields count="16">
    <pivotField name="Project Name" axis="axisRow" compact="0" outline="0" subtotalTop="0" showAll="0" defaultSubtotal="0">
      <items count="4">
        <item m="1" x="2"/>
        <item x="0"/>
        <item m="1" x="1"/>
        <item m="1" x="3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9">
        <item m="1" x="26"/>
        <item m="1" x="1"/>
        <item m="1" x="27"/>
        <item m="1" x="2"/>
        <item m="1" x="28"/>
        <item m="1" x="3"/>
        <item m="1" x="29"/>
        <item m="1" x="4"/>
        <item m="1" x="61"/>
        <item m="1" x="16"/>
        <item m="1" x="15"/>
        <item m="1" x="60"/>
        <item m="1" x="47"/>
        <item m="1" x="64"/>
        <item m="1" x="49"/>
        <item m="1" x="65"/>
        <item m="1" x="72"/>
        <item m="1" x="41"/>
        <item m="1" x="8"/>
        <item m="1" x="58"/>
        <item m="1" x="48"/>
        <item m="1" x="46"/>
        <item m="1" x="11"/>
        <item m="1" x="56"/>
        <item m="1" x="21"/>
        <item m="1" x="57"/>
        <item m="1" x="22"/>
        <item m="1" x="55"/>
        <item m="1" x="75"/>
        <item m="1" x="14"/>
        <item m="1" x="78"/>
        <item m="1" x="43"/>
        <item m="1" x="9"/>
        <item m="1" x="73"/>
        <item m="1" x="68"/>
        <item m="1" x="44"/>
        <item m="1" x="10"/>
        <item m="1" x="74"/>
        <item m="1" x="69"/>
        <item m="1" x="5"/>
        <item m="1" x="40"/>
        <item m="1" x="24"/>
        <item m="1" x="13"/>
        <item m="1" x="66"/>
        <item m="1" x="36"/>
        <item m="1" x="67"/>
        <item m="1" x="37"/>
        <item m="1" x="23"/>
        <item m="1" x="18"/>
        <item m="1" x="45"/>
        <item m="1" x="20"/>
        <item m="1" x="77"/>
        <item m="1" x="70"/>
        <item m="1" x="19"/>
        <item m="1" x="17"/>
        <item m="1" x="62"/>
        <item m="1" x="71"/>
        <item m="1" x="6"/>
        <item m="1" x="25"/>
        <item m="1" x="38"/>
        <item m="1" x="59"/>
        <item m="1" x="76"/>
        <item m="1" x="7"/>
        <item m="1" x="35"/>
        <item m="1" x="39"/>
        <item m="1" x="63"/>
        <item m="1" x="42"/>
        <item m="1" x="12"/>
        <item m="1" x="30"/>
        <item m="1" x="50"/>
        <item m="1" x="31"/>
        <item m="1" x="51"/>
        <item m="1" x="32"/>
        <item m="1" x="52"/>
        <item m="1" x="33"/>
        <item m="1" x="53"/>
        <item m="1" x="34"/>
        <item m="1" x="54"/>
        <item x="0"/>
      </items>
    </pivotField>
    <pivotField axis="axisRow" compact="0" outline="0" showAll="0" defaultSubtotal="0">
      <items count="7">
        <item m="1" x="1"/>
        <item m="1" x="5"/>
        <item m="1" x="2"/>
        <item m="1" x="3"/>
        <item m="1" x="4"/>
        <item m="1" x="6"/>
        <item x="0"/>
      </items>
    </pivotField>
    <pivotField axis="axisRow" compact="0" outline="0" showAll="0" defaultSubtotal="0">
      <items count="5">
        <item m="1" x="4"/>
        <item m="1" x="2"/>
        <item m="1" x="1"/>
        <item m="1" x="3"/>
        <item x="0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78"/>
      <x v="6"/>
      <x v="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8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9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3" firstHeaderRow="0" firstDataRow="1" firstDataCol="4"/>
  <pivotFields count="21">
    <pivotField name="Project Name" axis="axisRow" compact="0" outline="0" subtotalTop="0" showAll="0" defaultSubtotal="0">
      <items count="4">
        <item m="1" x="2"/>
        <item x="0"/>
        <item m="1" x="1"/>
        <item m="1" x="3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4">
        <item m="1" x="15"/>
        <item m="1" x="6"/>
        <item m="1" x="22"/>
        <item m="1" x="31"/>
        <item m="1" x="44"/>
        <item m="1" x="43"/>
        <item m="1" x="7"/>
        <item m="1" x="108"/>
        <item m="1" x="86"/>
        <item m="1" x="49"/>
        <item m="1" x="36"/>
        <item m="1" x="40"/>
        <item m="1" x="122"/>
        <item m="1" x="25"/>
        <item m="1" x="107"/>
        <item m="1" x="29"/>
        <item m="1" x="80"/>
        <item m="1" x="94"/>
        <item m="1" x="4"/>
        <item m="1" x="30"/>
        <item m="1" x="117"/>
        <item m="1" x="19"/>
        <item m="1" x="109"/>
        <item m="1" x="8"/>
        <item m="1" x="35"/>
        <item m="1" x="61"/>
        <item m="1" x="5"/>
        <item m="1" x="11"/>
        <item m="1" x="81"/>
        <item m="1" x="62"/>
        <item m="1" x="96"/>
        <item m="1" x="52"/>
        <item m="1" x="16"/>
        <item m="1" x="46"/>
        <item m="1" x="82"/>
        <item m="1" x="67"/>
        <item m="1" x="17"/>
        <item m="1" x="27"/>
        <item m="1" x="89"/>
        <item m="1" x="3"/>
        <item m="1" x="116"/>
        <item m="1" x="74"/>
        <item m="1" x="14"/>
        <item m="1" x="99"/>
        <item m="1" x="45"/>
        <item m="1" x="118"/>
        <item m="1" x="79"/>
        <item m="1" x="21"/>
        <item m="1" x="66"/>
        <item m="1" x="85"/>
        <item m="1" x="98"/>
        <item m="1" x="106"/>
        <item m="1" x="115"/>
        <item m="1" x="2"/>
        <item m="1" x="20"/>
        <item m="1" x="34"/>
        <item m="1" x="23"/>
        <item m="1" x="1"/>
        <item m="1" x="95"/>
        <item m="1" x="112"/>
        <item m="1" x="38"/>
        <item m="1" x="73"/>
        <item m="1" x="26"/>
        <item m="1" x="47"/>
        <item m="1" x="32"/>
        <item m="1" x="56"/>
        <item m="1" x="41"/>
        <item m="1" x="63"/>
        <item m="1" x="48"/>
        <item m="1" x="75"/>
        <item m="1" x="57"/>
        <item m="1" x="83"/>
        <item m="1" x="64"/>
        <item m="1" x="92"/>
        <item m="1" x="76"/>
        <item m="1" x="97"/>
        <item m="1" x="84"/>
        <item m="1" x="101"/>
        <item m="1" x="113"/>
        <item m="1" x="103"/>
        <item m="1" x="87"/>
        <item m="1" x="60"/>
        <item m="1" x="39"/>
        <item m="1" x="54"/>
        <item m="1" x="18"/>
        <item m="1" x="24"/>
        <item m="1" x="33"/>
        <item m="1" x="37"/>
        <item m="1" x="69"/>
        <item m="1" x="114"/>
        <item m="1" x="104"/>
        <item m="1" x="88"/>
        <item m="1" x="55"/>
        <item m="1" x="123"/>
        <item m="1" x="71"/>
        <item m="1" x="59"/>
        <item m="1" x="91"/>
        <item m="1" x="72"/>
        <item m="1" x="51"/>
        <item m="1" x="58"/>
        <item m="1" x="12"/>
        <item m="1" x="77"/>
        <item m="1" x="93"/>
        <item m="1" x="102"/>
        <item m="1" x="110"/>
        <item m="1" x="121"/>
        <item m="1" x="9"/>
        <item m="1" x="28"/>
        <item m="1" x="120"/>
        <item m="1" x="10"/>
        <item m="1" x="78"/>
        <item m="1" x="53"/>
        <item m="1" x="68"/>
        <item m="1" x="13"/>
        <item m="1" x="119"/>
        <item m="1" x="100"/>
        <item m="1" x="50"/>
        <item m="1" x="111"/>
        <item m="1" x="70"/>
        <item m="1" x="90"/>
        <item m="1" x="105"/>
        <item m="1" x="42"/>
        <item m="1" x="65"/>
        <item x="0"/>
      </items>
    </pivotField>
    <pivotField axis="axisRow" compact="0" outline="0" showAll="0" defaultSubtotal="0">
      <items count="7">
        <item m="1" x="5"/>
        <item m="1" x="3"/>
        <item m="1" x="2"/>
        <item m="1" x="6"/>
        <item m="1" x="1"/>
        <item m="1" x="4"/>
        <item x="0"/>
      </items>
    </pivotField>
    <pivotField axis="axisRow" compact="0" outline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123"/>
      <x v="6"/>
      <x v="4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10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61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10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3" firstHeaderRow="0" firstDataRow="1" firstDataCol="4"/>
  <pivotFields count="25">
    <pivotField name="Project Name" axis="axisRow" compact="0" outline="0" subtotalTop="0" showAll="0" defaultSubtotal="0">
      <items count="4">
        <item m="1" x="2"/>
        <item x="0"/>
        <item m="1" x="1"/>
        <item m="1" x="3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9">
        <item m="1" x="10"/>
        <item m="1" x="33"/>
        <item m="1" x="5"/>
        <item m="1" x="85"/>
        <item m="1" x="68"/>
        <item m="1" x="38"/>
        <item m="1" x="94"/>
        <item m="1" x="26"/>
        <item m="1" x="30"/>
        <item m="1" x="97"/>
        <item m="1" x="63"/>
        <item m="1" x="75"/>
        <item m="1" x="80"/>
        <item m="1" x="4"/>
        <item m="1" x="32"/>
        <item m="1" x="22"/>
        <item m="1" x="98"/>
        <item m="1" x="92"/>
        <item m="1" x="20"/>
        <item m="1" x="14"/>
        <item m="1" x="86"/>
        <item m="1" x="6"/>
        <item m="1" x="39"/>
        <item m="1" x="25"/>
        <item m="1" x="50"/>
        <item m="1" x="77"/>
        <item m="1" x="41"/>
        <item m="1" x="11"/>
        <item m="1" x="35"/>
        <item m="1" x="64"/>
        <item m="1" x="54"/>
        <item m="1" x="12"/>
        <item m="1" x="71"/>
        <item m="1" x="3"/>
        <item m="1" x="91"/>
        <item m="1" x="59"/>
        <item m="1" x="79"/>
        <item m="1" x="34"/>
        <item m="1" x="93"/>
        <item m="1" x="62"/>
        <item m="1" x="16"/>
        <item m="1" x="53"/>
        <item m="1" x="67"/>
        <item m="1" x="78"/>
        <item m="1" x="84"/>
        <item m="1" x="2"/>
        <item m="1" x="15"/>
        <item m="1" x="24"/>
        <item m="1" x="17"/>
        <item m="1" x="1"/>
        <item m="1" x="76"/>
        <item m="1" x="88"/>
        <item m="1" x="28"/>
        <item m="1" x="58"/>
        <item m="1" x="19"/>
        <item m="1" x="36"/>
        <item m="1" x="23"/>
        <item m="1" x="44"/>
        <item m="1" x="31"/>
        <item m="1" x="51"/>
        <item m="1" x="37"/>
        <item m="1" x="60"/>
        <item m="1" x="45"/>
        <item m="1" x="65"/>
        <item m="1" x="52"/>
        <item m="1" x="73"/>
        <item m="1" x="66"/>
        <item m="1" x="81"/>
        <item m="1" x="89"/>
        <item m="1" x="69"/>
        <item m="1" x="48"/>
        <item m="1" x="29"/>
        <item m="1" x="42"/>
        <item m="1" x="13"/>
        <item m="1" x="18"/>
        <item m="1" x="27"/>
        <item m="1" x="55"/>
        <item m="1" x="90"/>
        <item m="1" x="83"/>
        <item m="1" x="70"/>
        <item m="1" x="43"/>
        <item m="1" x="56"/>
        <item m="1" x="47"/>
        <item m="1" x="72"/>
        <item m="1" x="57"/>
        <item m="1" x="40"/>
        <item m="1" x="46"/>
        <item m="1" x="9"/>
        <item m="1" x="49"/>
        <item m="1" x="61"/>
        <item m="1" x="74"/>
        <item m="1" x="82"/>
        <item m="1" x="87"/>
        <item m="1" x="96"/>
        <item m="1" x="7"/>
        <item m="1" x="21"/>
        <item m="1" x="95"/>
        <item m="1" x="8"/>
        <item x="0"/>
      </items>
    </pivotField>
    <pivotField axis="axisRow" compact="0" outline="0" showAll="0" defaultSubtotal="0">
      <items count="12">
        <item m="1" x="10"/>
        <item m="1" x="2"/>
        <item m="1" x="4"/>
        <item m="1" x="6"/>
        <item m="1" x="7"/>
        <item m="1" x="9"/>
        <item m="1" x="8"/>
        <item m="1" x="11"/>
        <item m="1" x="1"/>
        <item m="1" x="3"/>
        <item m="1" x="5"/>
        <item x="0"/>
      </items>
    </pivotField>
    <pivotField axis="axisRow" compact="0" outline="0" showAll="0" defaultSubtotal="0">
      <items count="5">
        <item m="1" x="3"/>
        <item m="1" x="1"/>
        <item m="1" x="4"/>
        <item m="1" x="2"/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">
    <i>
      <x v="1"/>
      <x v="98"/>
      <x v="11"/>
      <x v="4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61" tableType="queryTable" totalsRowShown="0">
  <autoFilter ref="A1:Y61" xr:uid="{C3D003CA-1AFF-426C-A03D-D3AF5760DF1A}"/>
  <sortState xmlns:xlrd2="http://schemas.microsoft.com/office/spreadsheetml/2017/richdata2" ref="A2:Y61">
    <sortCondition ref="D1:D6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51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50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49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48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47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46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45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44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43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42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41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40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39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38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1" tableType="queryTable" totalsRowShown="0">
  <autoFilter ref="A1:U1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31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30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29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28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27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26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25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24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23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20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19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18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17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16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31" tableType="queryTable" totalsRowShown="0">
  <autoFilter ref="A1:P3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12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11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10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9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8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7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6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5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47" tableType="queryTable" totalsRowShown="0">
  <autoFilter ref="A1:Q47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2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1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0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tabSelected="1" workbookViewId="0">
      <selection activeCell="B4" sqref="B4"/>
    </sheetView>
  </sheetViews>
  <sheetFormatPr defaultRowHeight="15" x14ac:dyDescent="0.25"/>
  <cols>
    <col min="1" max="1" width="15.28515625" bestFit="1" customWidth="1"/>
    <col min="2" max="2" width="43.42578125" bestFit="1" customWidth="1"/>
    <col min="3" max="3" width="18.140625" bestFit="1" customWidth="1"/>
    <col min="4" max="4" width="11.7109375" bestFit="1" customWidth="1"/>
    <col min="5" max="5" width="22.42578125" bestFit="1" customWidth="1"/>
    <col min="6" max="6" width="24.28515625" bestFit="1" customWidth="1"/>
    <col min="7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70</v>
      </c>
      <c r="C2" t="s">
        <v>68</v>
      </c>
      <c r="D2">
        <v>3</v>
      </c>
      <c r="E2">
        <v>10</v>
      </c>
      <c r="F2">
        <v>100</v>
      </c>
      <c r="G2">
        <f>0.95</f>
        <v>0.95</v>
      </c>
    </row>
  </sheetData>
  <phoneticPr fontId="2" type="noConversion"/>
  <conditionalFormatting sqref="D2">
    <cfRule type="expression" dxfId="76" priority="1">
      <formula>D2=3</formula>
    </cfRule>
    <cfRule type="expression" dxfId="75" priority="2">
      <formula>D2=2</formula>
    </cfRule>
    <cfRule type="expression" dxfId="74" priority="3">
      <formula>D2=1</formula>
    </cfRule>
    <cfRule type="expression" dxfId="73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3"/>
  <sheetViews>
    <sheetView workbookViewId="0"/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9.28515625" bestFit="1" customWidth="1"/>
    <col min="5" max="5" width="30.5703125" bestFit="1" customWidth="1"/>
    <col min="6" max="6" width="20.85546875" bestFit="1" customWidth="1"/>
    <col min="7" max="7" width="10.85546875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0.85546875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0.85546875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65</v>
      </c>
      <c r="B3" t="s">
        <v>65</v>
      </c>
      <c r="C3" t="s">
        <v>65</v>
      </c>
      <c r="D3" t="s">
        <v>65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/>
      <c r="L3" s="5"/>
      <c r="M3" s="5">
        <v>0</v>
      </c>
      <c r="O3" t="s">
        <v>65</v>
      </c>
      <c r="P3" t="s">
        <v>65</v>
      </c>
      <c r="Q3" t="s">
        <v>65</v>
      </c>
      <c r="R3" t="s">
        <v>65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/>
      <c r="Y3" s="5"/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65</v>
      </c>
      <c r="AL3" t="s">
        <v>65</v>
      </c>
      <c r="AM3" t="s">
        <v>65</v>
      </c>
      <c r="AN3" t="s">
        <v>65</v>
      </c>
      <c r="AO3" s="5">
        <v>0</v>
      </c>
      <c r="AP3" s="5">
        <v>4E+20</v>
      </c>
      <c r="AQ3" s="5">
        <v>0</v>
      </c>
      <c r="AR3" s="5">
        <v>0</v>
      </c>
      <c r="AS3" s="5">
        <v>0</v>
      </c>
      <c r="AU3" t="s">
        <v>65</v>
      </c>
      <c r="AV3" t="s">
        <v>65</v>
      </c>
      <c r="AW3" t="s">
        <v>65</v>
      </c>
      <c r="AX3" t="s">
        <v>65</v>
      </c>
      <c r="AY3" s="4">
        <v>0</v>
      </c>
      <c r="AZ3" s="4">
        <v>4E+20</v>
      </c>
    </row>
  </sheetData>
  <dataConsolidate/>
  <conditionalFormatting pivot="1" sqref="G3">
    <cfRule type="expression" dxfId="72" priority="14">
      <formula>G3=200000000000000000000</formula>
    </cfRule>
  </conditionalFormatting>
  <conditionalFormatting pivot="1" sqref="T3">
    <cfRule type="expression" dxfId="71" priority="13">
      <formula>T3=200000000000000000000</formula>
    </cfRule>
  </conditionalFormatting>
  <conditionalFormatting pivot="1" sqref="T3">
    <cfRule type="expression" dxfId="70" priority="12">
      <formula>T3=300000000000000000000</formula>
    </cfRule>
  </conditionalFormatting>
  <conditionalFormatting pivot="1" sqref="G3">
    <cfRule type="expression" dxfId="69" priority="11">
      <formula>G3=300000000000000000000</formula>
    </cfRule>
  </conditionalFormatting>
  <conditionalFormatting pivot="1" sqref="F3">
    <cfRule type="expression" dxfId="68" priority="10">
      <formula>F3=0</formula>
    </cfRule>
  </conditionalFormatting>
  <conditionalFormatting pivot="1" sqref="F3">
    <cfRule type="expression" dxfId="67" priority="9">
      <formula>F3=1</formula>
    </cfRule>
  </conditionalFormatting>
  <conditionalFormatting pivot="1" sqref="T3">
    <cfRule type="expression" dxfId="66" priority="8">
      <formula>T3=400000000000000000000</formula>
    </cfRule>
  </conditionalFormatting>
  <conditionalFormatting pivot="1" sqref="AP3">
    <cfRule type="expression" dxfId="65" priority="7">
      <formula>AP3=400000000000000000000</formula>
    </cfRule>
  </conditionalFormatting>
  <conditionalFormatting pivot="1" sqref="AF3">
    <cfRule type="expression" dxfId="64" priority="6">
      <formula>AF3=400000000000000000000</formula>
    </cfRule>
  </conditionalFormatting>
  <conditionalFormatting pivot="1" sqref="G3">
    <cfRule type="expression" dxfId="63" priority="5">
      <formula>G3=400000000000000000000</formula>
    </cfRule>
  </conditionalFormatting>
  <conditionalFormatting pivot="1" sqref="AZ3">
    <cfRule type="expression" dxfId="62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61"/>
  <sheetViews>
    <sheetView workbookViewId="0">
      <selection activeCell="A2" sqref="A2:K61"/>
    </sheetView>
  </sheetViews>
  <sheetFormatPr defaultRowHeight="15" x14ac:dyDescent="0.25"/>
  <cols>
    <col min="1" max="1" width="15.28515625" bestFit="1" customWidth="1"/>
    <col min="2" max="2" width="21.28515625" bestFit="1" customWidth="1"/>
    <col min="3" max="3" width="12.5703125" bestFit="1" customWidth="1"/>
    <col min="4" max="4" width="8.28515625" bestFit="1" customWidth="1"/>
    <col min="5" max="5" width="12.28515625" bestFit="1" customWidth="1"/>
    <col min="6" max="6" width="9" bestFit="1" customWidth="1"/>
    <col min="7" max="7" width="10.140625" bestFit="1" customWidth="1"/>
    <col min="8" max="8" width="22.28515625" bestFit="1" customWidth="1"/>
    <col min="9" max="9" width="11.42578125" bestFit="1" customWidth="1"/>
    <col min="10" max="10" width="11.7109375" bestFit="1" customWidth="1"/>
    <col min="11" max="11" width="21.28515625" bestFit="1" customWidth="1"/>
    <col min="12" max="12" width="37.85546875" bestFit="1" customWidth="1"/>
    <col min="13" max="13" width="16.28515625" bestFit="1" customWidth="1"/>
    <col min="14" max="14" width="19.140625" customWidth="1"/>
    <col min="15" max="15" width="17.140625" bestFit="1" customWidth="1"/>
    <col min="16" max="16" width="19.42578125" bestFit="1" customWidth="1"/>
    <col min="17" max="17" width="11.7109375" bestFit="1" customWidth="1"/>
    <col min="18" max="18" width="18.42578125" bestFit="1" customWidth="1"/>
    <col min="19" max="19" width="18.7109375" customWidth="1"/>
    <col min="20" max="20" width="17.42578125" customWidth="1"/>
    <col min="21" max="21" width="17.7109375" customWidth="1"/>
    <col min="22" max="22" width="28.42578125" bestFit="1" customWidth="1"/>
    <col min="23" max="23" width="20" bestFit="1" customWidth="1"/>
    <col min="24" max="24" width="22.7109375" bestFit="1" customWidth="1"/>
    <col min="25" max="25" width="21.2851562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L2" t="str">
        <f>DiscreteStatsTable[[#This Row],[ProjectName]]&amp;DiscreteStatsTable[[#This Row],[Name]]&amp;DiscreteStatsTable[[#This Row],[Type]]&amp;DiscreteStatsTable[[#This Row],[Source]]</f>
        <v/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0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60</v>
      </c>
      <c r="Y2">
        <f>IF(DiscreteStatsTable[[#This Row],[RepsRequested]]=DiscreteStatsTable[[#This Row],[RepsWithStatObserved]],1,0)</f>
        <v>0</v>
      </c>
    </row>
    <row r="3" spans="1:25" x14ac:dyDescent="0.25">
      <c r="L3" t="str">
        <f>DiscreteStatsTable[[#This Row],[ProjectName]]&amp;DiscreteStatsTable[[#This Row],[Name]]&amp;DiscreteStatsTable[[#This Row],[Type]]&amp;DiscreteStatsTable[[#This Row],[Source]]</f>
        <v/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0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60</v>
      </c>
      <c r="Y3">
        <f>IF(DiscreteStatsTable[[#This Row],[RepsRequested]]=DiscreteStatsTable[[#This Row],[RepsWithStatObserved]],1,0)</f>
        <v>0</v>
      </c>
    </row>
    <row r="4" spans="1:25" x14ac:dyDescent="0.25">
      <c r="L4" t="str">
        <f>DiscreteStatsTable[[#This Row],[ProjectName]]&amp;DiscreteStatsTable[[#This Row],[Name]]&amp;DiscreteStatsTable[[#This Row],[Type]]&amp;DiscreteStatsTable[[#This Row],[Source]]</f>
        <v/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0</v>
      </c>
      <c r="W4">
        <f>IF((DiscreteStatsTable[[#This Row],[RepsRequested]]&gt;1),DiscreteStatsTable[[#This Row],[HalfWidth]],DiscreteStatsTable[[#This Row],[BatchMeansHalfWidth]])</f>
        <v>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60</v>
      </c>
      <c r="Y4">
        <f>IF(DiscreteStatsTable[[#This Row],[RepsRequested]]=DiscreteStatsTable[[#This Row],[RepsWithStatObserved]],1,0)</f>
        <v>0</v>
      </c>
    </row>
    <row r="5" spans="1:25" x14ac:dyDescent="0.25">
      <c r="L5" t="str">
        <f>DiscreteStatsTable[[#This Row],[ProjectName]]&amp;DiscreteStatsTable[[#This Row],[Name]]&amp;DiscreteStatsTable[[#This Row],[Type]]&amp;DiscreteStatsTable[[#This Row],[Source]]</f>
        <v/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0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60</v>
      </c>
      <c r="Y5">
        <f>IF(DiscreteStatsTable[[#This Row],[RepsRequested]]=DiscreteStatsTable[[#This Row],[RepsWithStatObserved]],1,0)</f>
        <v>0</v>
      </c>
    </row>
    <row r="6" spans="1:25" x14ac:dyDescent="0.25">
      <c r="L6" t="str">
        <f>DiscreteStatsTable[[#This Row],[ProjectName]]&amp;DiscreteStatsTable[[#This Row],[Name]]&amp;DiscreteStatsTable[[#This Row],[Type]]&amp;DiscreteStatsTable[[#This Row],[Source]]</f>
        <v/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0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60</v>
      </c>
      <c r="Y6">
        <f>IF(DiscreteStatsTable[[#This Row],[RepsRequested]]=DiscreteStatsTable[[#This Row],[RepsWithStatObserved]],1,0)</f>
        <v>0</v>
      </c>
    </row>
    <row r="7" spans="1:25" x14ac:dyDescent="0.25">
      <c r="L7" t="str">
        <f>DiscreteStatsTable[[#This Row],[ProjectName]]&amp;DiscreteStatsTable[[#This Row],[Name]]&amp;DiscreteStatsTable[[#This Row],[Type]]&amp;DiscreteStatsTable[[#This Row],[Source]]</f>
        <v/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0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60</v>
      </c>
      <c r="Y7">
        <f>IF(DiscreteStatsTable[[#This Row],[RepsRequested]]=DiscreteStatsTable[[#This Row],[RepsWithStatObserved]],1,0)</f>
        <v>0</v>
      </c>
    </row>
    <row r="8" spans="1:25" x14ac:dyDescent="0.25">
      <c r="L8" t="str">
        <f>DiscreteStatsTable[[#This Row],[ProjectName]]&amp;DiscreteStatsTable[[#This Row],[Name]]&amp;DiscreteStatsTable[[#This Row],[Type]]&amp;DiscreteStatsTable[[#This Row],[Source]]</f>
        <v/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0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60</v>
      </c>
      <c r="Y8">
        <f>IF(DiscreteStatsTable[[#This Row],[RepsRequested]]=DiscreteStatsTable[[#This Row],[RepsWithStatObserved]],1,0)</f>
        <v>0</v>
      </c>
    </row>
    <row r="9" spans="1:25" x14ac:dyDescent="0.25">
      <c r="L9" t="str">
        <f>DiscreteStatsTable[[#This Row],[ProjectName]]&amp;DiscreteStatsTable[[#This Row],[Name]]&amp;DiscreteStatsTable[[#This Row],[Type]]&amp;DiscreteStatsTable[[#This Row],[Source]]</f>
        <v/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0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60</v>
      </c>
      <c r="Y9">
        <f>IF(DiscreteStatsTable[[#This Row],[RepsRequested]]=DiscreteStatsTable[[#This Row],[RepsWithStatObserved]],1,0)</f>
        <v>0</v>
      </c>
    </row>
    <row r="10" spans="1:25" x14ac:dyDescent="0.25">
      <c r="L10" t="str">
        <f>DiscreteStatsTable[[#This Row],[ProjectName]]&amp;DiscreteStatsTable[[#This Row],[Name]]&amp;DiscreteStatsTable[[#This Row],[Type]]&amp;DiscreteStatsTable[[#This Row],[Source]]</f>
        <v/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0</v>
      </c>
      <c r="W10">
        <f>IF((DiscreteStatsTable[[#This Row],[RepsRequested]]&gt;1),DiscreteStatsTable[[#This Row],[HalfWidth]],DiscreteStatsTable[[#This Row],[BatchMeansHalfWidth]])</f>
        <v>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60</v>
      </c>
      <c r="Y10">
        <f>IF(DiscreteStatsTable[[#This Row],[RepsRequested]]=DiscreteStatsTable[[#This Row],[RepsWithStatObserved]],1,0)</f>
        <v>0</v>
      </c>
    </row>
    <row r="11" spans="1:25" x14ac:dyDescent="0.25">
      <c r="L11" t="str">
        <f>DiscreteStatsTable[[#This Row],[ProjectName]]&amp;DiscreteStatsTable[[#This Row],[Name]]&amp;DiscreteStatsTable[[#This Row],[Type]]&amp;DiscreteStatsTable[[#This Row],[Source]]</f>
        <v/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0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60</v>
      </c>
      <c r="Y11">
        <f>IF(DiscreteStatsTable[[#This Row],[RepsRequested]]=DiscreteStatsTable[[#This Row],[RepsWithStatObserved]],1,0)</f>
        <v>0</v>
      </c>
    </row>
    <row r="12" spans="1:25" x14ac:dyDescent="0.25">
      <c r="L12" t="str">
        <f>DiscreteStatsTable[[#This Row],[ProjectName]]&amp;DiscreteStatsTable[[#This Row],[Name]]&amp;DiscreteStatsTable[[#This Row],[Type]]&amp;DiscreteStatsTable[[#This Row],[Source]]</f>
        <v/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0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60</v>
      </c>
      <c r="Y12">
        <f>IF(DiscreteStatsTable[[#This Row],[RepsRequested]]=DiscreteStatsTable[[#This Row],[RepsWithStatObserved]],1,0)</f>
        <v>0</v>
      </c>
    </row>
    <row r="13" spans="1:25" x14ac:dyDescent="0.25">
      <c r="L13" t="str">
        <f>DiscreteStatsTable[[#This Row],[ProjectName]]&amp;DiscreteStatsTable[[#This Row],[Name]]&amp;DiscreteStatsTable[[#This Row],[Type]]&amp;DiscreteStatsTable[[#This Row],[Source]]</f>
        <v/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0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60</v>
      </c>
      <c r="Y13">
        <f>IF(DiscreteStatsTable[[#This Row],[RepsRequested]]=DiscreteStatsTable[[#This Row],[RepsWithStatObserved]],1,0)</f>
        <v>0</v>
      </c>
    </row>
    <row r="14" spans="1:25" x14ac:dyDescent="0.25">
      <c r="L14" t="str">
        <f>DiscreteStatsTable[[#This Row],[ProjectName]]&amp;DiscreteStatsTable[[#This Row],[Name]]&amp;DiscreteStatsTable[[#This Row],[Type]]&amp;DiscreteStatsTable[[#This Row],[Source]]</f>
        <v/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0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60</v>
      </c>
      <c r="Y14">
        <f>IF(DiscreteStatsTable[[#This Row],[RepsRequested]]=DiscreteStatsTable[[#This Row],[RepsWithStatObserved]],1,0)</f>
        <v>0</v>
      </c>
    </row>
    <row r="15" spans="1:25" x14ac:dyDescent="0.25">
      <c r="L15" t="str">
        <f>DiscreteStatsTable[[#This Row],[ProjectName]]&amp;DiscreteStatsTable[[#This Row],[Name]]&amp;DiscreteStatsTable[[#This Row],[Type]]&amp;DiscreteStatsTable[[#This Row],[Source]]</f>
        <v/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0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60</v>
      </c>
      <c r="Y15">
        <f>IF(DiscreteStatsTable[[#This Row],[RepsRequested]]=DiscreteStatsTable[[#This Row],[RepsWithStatObserved]],1,0)</f>
        <v>0</v>
      </c>
    </row>
    <row r="16" spans="1:25" x14ac:dyDescent="0.25">
      <c r="L16" t="str">
        <f>DiscreteStatsTable[[#This Row],[ProjectName]]&amp;DiscreteStatsTable[[#This Row],[Name]]&amp;DiscreteStatsTable[[#This Row],[Type]]&amp;DiscreteStatsTable[[#This Row],[Source]]</f>
        <v/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0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0</v>
      </c>
      <c r="W16">
        <f>IF((DiscreteStatsTable[[#This Row],[RepsRequested]]&gt;1),DiscreteStatsTable[[#This Row],[HalfWidth]],DiscreteStatsTable[[#This Row],[BatchMeansHalfWidth]])</f>
        <v>0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60</v>
      </c>
      <c r="Y16">
        <f>IF(DiscreteStatsTable[[#This Row],[RepsRequested]]=DiscreteStatsTable[[#This Row],[RepsWithStatObserved]],1,0)</f>
        <v>0</v>
      </c>
    </row>
    <row r="17" spans="12:25" x14ac:dyDescent="0.25">
      <c r="L17" t="str">
        <f>DiscreteStatsTable[[#This Row],[ProjectName]]&amp;DiscreteStatsTable[[#This Row],[Name]]&amp;DiscreteStatsTable[[#This Row],[Type]]&amp;DiscreteStatsTable[[#This Row],[Source]]</f>
        <v/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0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60</v>
      </c>
      <c r="Y17">
        <f>IF(DiscreteStatsTable[[#This Row],[RepsRequested]]=DiscreteStatsTable[[#This Row],[RepsWithStatObserved]],1,0)</f>
        <v>0</v>
      </c>
    </row>
    <row r="18" spans="12:25" x14ac:dyDescent="0.25">
      <c r="L18" t="str">
        <f>DiscreteStatsTable[[#This Row],[ProjectName]]&amp;DiscreteStatsTable[[#This Row],[Name]]&amp;DiscreteStatsTable[[#This Row],[Type]]&amp;DiscreteStatsTable[[#This Row],[Source]]</f>
        <v/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0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60</v>
      </c>
      <c r="Y18">
        <f>IF(DiscreteStatsTable[[#This Row],[RepsRequested]]=DiscreteStatsTable[[#This Row],[RepsWithStatObserved]],1,0)</f>
        <v>0</v>
      </c>
    </row>
    <row r="19" spans="12:25" x14ac:dyDescent="0.25">
      <c r="L19" t="str">
        <f>DiscreteStatsTable[[#This Row],[ProjectName]]&amp;DiscreteStatsTable[[#This Row],[Name]]&amp;DiscreteStatsTable[[#This Row],[Type]]&amp;DiscreteStatsTable[[#This Row],[Source]]</f>
        <v/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0</v>
      </c>
      <c r="W19">
        <f>IF((DiscreteStatsTable[[#This Row],[RepsRequested]]&gt;1),DiscreteStatsTable[[#This Row],[HalfWidth]],DiscreteStatsTable[[#This Row],[BatchMeansHalfWidth]])</f>
        <v>0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60</v>
      </c>
      <c r="Y19">
        <f>IF(DiscreteStatsTable[[#This Row],[RepsRequested]]=DiscreteStatsTable[[#This Row],[RepsWithStatObserved]],1,0)</f>
        <v>0</v>
      </c>
    </row>
    <row r="20" spans="12:25" x14ac:dyDescent="0.25">
      <c r="L20" t="str">
        <f>DiscreteStatsTable[[#This Row],[ProjectName]]&amp;DiscreteStatsTable[[#This Row],[Name]]&amp;DiscreteStatsTable[[#This Row],[Type]]&amp;DiscreteStatsTable[[#This Row],[Source]]</f>
        <v/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0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60</v>
      </c>
      <c r="Y20">
        <f>IF(DiscreteStatsTable[[#This Row],[RepsRequested]]=DiscreteStatsTable[[#This Row],[RepsWithStatObserved]],1,0)</f>
        <v>0</v>
      </c>
    </row>
    <row r="21" spans="12:25" x14ac:dyDescent="0.25">
      <c r="L21" t="str">
        <f>DiscreteStatsTable[[#This Row],[ProjectName]]&amp;DiscreteStatsTable[[#This Row],[Name]]&amp;DiscreteStatsTable[[#This Row],[Type]]&amp;DiscreteStatsTable[[#This Row],[Source]]</f>
        <v/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0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60</v>
      </c>
      <c r="Y21">
        <f>IF(DiscreteStatsTable[[#This Row],[RepsRequested]]=DiscreteStatsTable[[#This Row],[RepsWithStatObserved]],1,0)</f>
        <v>0</v>
      </c>
    </row>
    <row r="22" spans="12:25" x14ac:dyDescent="0.25">
      <c r="L22" t="str">
        <f>DiscreteStatsTable[[#This Row],[ProjectName]]&amp;DiscreteStatsTable[[#This Row],[Name]]&amp;DiscreteStatsTable[[#This Row],[Type]]&amp;DiscreteStatsTable[[#This Row],[Source]]</f>
        <v/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0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0</v>
      </c>
      <c r="W22">
        <f>IF((DiscreteStatsTable[[#This Row],[RepsRequested]]&gt;1),DiscreteStatsTable[[#This Row],[HalfWidth]],DiscreteStatsTable[[#This Row],[BatchMeansHalfWidth]])</f>
        <v>0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60</v>
      </c>
      <c r="Y22">
        <f>IF(DiscreteStatsTable[[#This Row],[RepsRequested]]=DiscreteStatsTable[[#This Row],[RepsWithStatObserved]],1,0)</f>
        <v>0</v>
      </c>
    </row>
    <row r="23" spans="12:25" x14ac:dyDescent="0.25">
      <c r="L23" t="str">
        <f>DiscreteStatsTable[[#This Row],[ProjectName]]&amp;DiscreteStatsTable[[#This Row],[Name]]&amp;DiscreteStatsTable[[#This Row],[Type]]&amp;DiscreteStatsTable[[#This Row],[Source]]</f>
        <v/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0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60</v>
      </c>
      <c r="Y23">
        <f>IF(DiscreteStatsTable[[#This Row],[RepsRequested]]=DiscreteStatsTable[[#This Row],[RepsWithStatObserved]],1,0)</f>
        <v>0</v>
      </c>
    </row>
    <row r="24" spans="12:25" x14ac:dyDescent="0.25">
      <c r="L24" t="str">
        <f>DiscreteStatsTable[[#This Row],[ProjectName]]&amp;DiscreteStatsTable[[#This Row],[Name]]&amp;DiscreteStatsTable[[#This Row],[Type]]&amp;DiscreteStatsTable[[#This Row],[Source]]</f>
        <v/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0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60</v>
      </c>
      <c r="Y24">
        <f>IF(DiscreteStatsTable[[#This Row],[RepsRequested]]=DiscreteStatsTable[[#This Row],[RepsWithStatObserved]],1,0)</f>
        <v>0</v>
      </c>
    </row>
    <row r="25" spans="12:25" x14ac:dyDescent="0.25">
      <c r="L25" t="str">
        <f>DiscreteStatsTable[[#This Row],[ProjectName]]&amp;DiscreteStatsTable[[#This Row],[Name]]&amp;DiscreteStatsTable[[#This Row],[Type]]&amp;DiscreteStatsTable[[#This Row],[Source]]</f>
        <v/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0</v>
      </c>
      <c r="W25">
        <f>IF((DiscreteStatsTable[[#This Row],[RepsRequested]]&gt;1),DiscreteStatsTable[[#This Row],[HalfWidth]],DiscreteStatsTable[[#This Row],[BatchMeansHalfWidth]])</f>
        <v>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60</v>
      </c>
      <c r="Y25">
        <f>IF(DiscreteStatsTable[[#This Row],[RepsRequested]]=DiscreteStatsTable[[#This Row],[RepsWithStatObserved]],1,0)</f>
        <v>0</v>
      </c>
    </row>
    <row r="26" spans="12:25" x14ac:dyDescent="0.25">
      <c r="L26" t="str">
        <f>DiscreteStatsTable[[#This Row],[ProjectName]]&amp;DiscreteStatsTable[[#This Row],[Name]]&amp;DiscreteStatsTable[[#This Row],[Type]]&amp;DiscreteStatsTable[[#This Row],[Source]]</f>
        <v/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0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60</v>
      </c>
      <c r="Y26">
        <f>IF(DiscreteStatsTable[[#This Row],[RepsRequested]]=DiscreteStatsTable[[#This Row],[RepsWithStatObserved]],1,0)</f>
        <v>0</v>
      </c>
    </row>
    <row r="27" spans="12:25" x14ac:dyDescent="0.25">
      <c r="L27" t="str">
        <f>DiscreteStatsTable[[#This Row],[ProjectName]]&amp;DiscreteStatsTable[[#This Row],[Name]]&amp;DiscreteStatsTable[[#This Row],[Type]]&amp;DiscreteStatsTable[[#This Row],[Source]]</f>
        <v/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0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60</v>
      </c>
      <c r="Y27">
        <f>IF(DiscreteStatsTable[[#This Row],[RepsRequested]]=DiscreteStatsTable[[#This Row],[RepsWithStatObserved]],1,0)</f>
        <v>0</v>
      </c>
    </row>
    <row r="28" spans="12:25" x14ac:dyDescent="0.25">
      <c r="L28" t="str">
        <f>DiscreteStatsTable[[#This Row],[ProjectName]]&amp;DiscreteStatsTable[[#This Row],[Name]]&amp;DiscreteStatsTable[[#This Row],[Type]]&amp;DiscreteStatsTable[[#This Row],[Source]]</f>
        <v/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0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0</v>
      </c>
      <c r="W28">
        <f>IF((DiscreteStatsTable[[#This Row],[RepsRequested]]&gt;1),DiscreteStatsTable[[#This Row],[HalfWidth]],DiscreteStatsTable[[#This Row],[BatchMeansHalfWidth]])</f>
        <v>0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60</v>
      </c>
      <c r="Y28">
        <f>IF(DiscreteStatsTable[[#This Row],[RepsRequested]]=DiscreteStatsTable[[#This Row],[RepsWithStatObserved]],1,0)</f>
        <v>0</v>
      </c>
    </row>
    <row r="29" spans="12:25" x14ac:dyDescent="0.25">
      <c r="L29" t="str">
        <f>DiscreteStatsTable[[#This Row],[ProjectName]]&amp;DiscreteStatsTable[[#This Row],[Name]]&amp;DiscreteStatsTable[[#This Row],[Type]]&amp;DiscreteStatsTable[[#This Row],[Source]]</f>
        <v/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0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60</v>
      </c>
      <c r="Y29">
        <f>IF(DiscreteStatsTable[[#This Row],[RepsRequested]]=DiscreteStatsTable[[#This Row],[RepsWithStatObserved]],1,0)</f>
        <v>0</v>
      </c>
    </row>
    <row r="30" spans="12:25" x14ac:dyDescent="0.25">
      <c r="L30" t="str">
        <f>DiscreteStatsTable[[#This Row],[ProjectName]]&amp;DiscreteStatsTable[[#This Row],[Name]]&amp;DiscreteStatsTable[[#This Row],[Type]]&amp;DiscreteStatsTable[[#This Row],[Source]]</f>
        <v/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0</v>
      </c>
      <c r="W30">
        <f>IF((DiscreteStatsTable[[#This Row],[RepsRequested]]&gt;1),DiscreteStatsTable[[#This Row],[HalfWidth]],DiscreteStatsTable[[#This Row],[BatchMeansHalfWidth]])</f>
        <v>0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60</v>
      </c>
      <c r="Y30">
        <f>IF(DiscreteStatsTable[[#This Row],[RepsRequested]]=DiscreteStatsTable[[#This Row],[RepsWithStatObserved]],1,0)</f>
        <v>0</v>
      </c>
    </row>
    <row r="31" spans="12:25" x14ac:dyDescent="0.25">
      <c r="L31" t="str">
        <f>DiscreteStatsTable[[#This Row],[ProjectName]]&amp;DiscreteStatsTable[[#This Row],[Name]]&amp;DiscreteStatsTable[[#This Row],[Type]]&amp;DiscreteStatsTable[[#This Row],[Source]]</f>
        <v/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0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0</v>
      </c>
      <c r="W31">
        <f>IF((DiscreteStatsTable[[#This Row],[RepsRequested]]&gt;1),DiscreteStatsTable[[#This Row],[HalfWidth]],DiscreteStatsTable[[#This Row],[BatchMeansHalfWidth]])</f>
        <v>0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60</v>
      </c>
      <c r="Y31">
        <f>IF(DiscreteStatsTable[[#This Row],[RepsRequested]]=DiscreteStatsTable[[#This Row],[RepsWithStatObserved]],1,0)</f>
        <v>0</v>
      </c>
    </row>
    <row r="32" spans="12:25" x14ac:dyDescent="0.25">
      <c r="L32" t="str">
        <f>DiscreteStatsTable[[#This Row],[ProjectName]]&amp;DiscreteStatsTable[[#This Row],[Name]]&amp;DiscreteStatsTable[[#This Row],[Type]]&amp;DiscreteStatsTable[[#This Row],[Source]]</f>
        <v/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0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60</v>
      </c>
      <c r="Y32">
        <f>IF(DiscreteStatsTable[[#This Row],[RepsRequested]]=DiscreteStatsTable[[#This Row],[RepsWithStatObserved]],1,0)</f>
        <v>0</v>
      </c>
    </row>
    <row r="33" spans="12:25" x14ac:dyDescent="0.25">
      <c r="L33" t="str">
        <f>DiscreteStatsTable[[#This Row],[ProjectName]]&amp;DiscreteStatsTable[[#This Row],[Name]]&amp;DiscreteStatsTable[[#This Row],[Type]]&amp;DiscreteStatsTable[[#This Row],[Source]]</f>
        <v/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0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60</v>
      </c>
      <c r="Y33">
        <f>IF(DiscreteStatsTable[[#This Row],[RepsRequested]]=DiscreteStatsTable[[#This Row],[RepsWithStatObserved]],1,0)</f>
        <v>0</v>
      </c>
    </row>
    <row r="34" spans="12:25" x14ac:dyDescent="0.25">
      <c r="L34" t="str">
        <f>DiscreteStatsTable[[#This Row],[ProjectName]]&amp;DiscreteStatsTable[[#This Row],[Name]]&amp;DiscreteStatsTable[[#This Row],[Type]]&amp;DiscreteStatsTable[[#This Row],[Source]]</f>
        <v/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0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0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0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0</v>
      </c>
      <c r="W34">
        <f>IF((DiscreteStatsTable[[#This Row],[RepsRequested]]&gt;1),DiscreteStatsTable[[#This Row],[HalfWidth]],DiscreteStatsTable[[#This Row],[BatchMeansHalfWidth]])</f>
        <v>0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60</v>
      </c>
      <c r="Y34">
        <f>IF(DiscreteStatsTable[[#This Row],[RepsRequested]]=DiscreteStatsTable[[#This Row],[RepsWithStatObserved]],1,0)</f>
        <v>0</v>
      </c>
    </row>
    <row r="35" spans="12:25" x14ac:dyDescent="0.25">
      <c r="L35" t="str">
        <f>DiscreteStatsTable[[#This Row],[ProjectName]]&amp;DiscreteStatsTable[[#This Row],[Name]]&amp;DiscreteStatsTable[[#This Row],[Type]]&amp;DiscreteStatsTable[[#This Row],[Source]]</f>
        <v/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0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60</v>
      </c>
      <c r="Y35">
        <f>IF(DiscreteStatsTable[[#This Row],[RepsRequested]]=DiscreteStatsTable[[#This Row],[RepsWithStatObserved]],1,0)</f>
        <v>0</v>
      </c>
    </row>
    <row r="36" spans="12:25" x14ac:dyDescent="0.25">
      <c r="L36" t="str">
        <f>DiscreteStatsTable[[#This Row],[ProjectName]]&amp;DiscreteStatsTable[[#This Row],[Name]]&amp;DiscreteStatsTable[[#This Row],[Type]]&amp;DiscreteStatsTable[[#This Row],[Source]]</f>
        <v/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0</v>
      </c>
      <c r="W36">
        <f>IF((DiscreteStatsTable[[#This Row],[RepsRequested]]&gt;1),DiscreteStatsTable[[#This Row],[HalfWidth]],DiscreteStatsTable[[#This Row],[BatchMeansHalfWidth]])</f>
        <v>0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60</v>
      </c>
      <c r="Y36">
        <f>IF(DiscreteStatsTable[[#This Row],[RepsRequested]]=DiscreteStatsTable[[#This Row],[RepsWithStatObserved]],1,0)</f>
        <v>0</v>
      </c>
    </row>
    <row r="37" spans="12:25" x14ac:dyDescent="0.25">
      <c r="L37" t="str">
        <f>DiscreteStatsTable[[#This Row],[ProjectName]]&amp;DiscreteStatsTable[[#This Row],[Name]]&amp;DiscreteStatsTable[[#This Row],[Type]]&amp;DiscreteStatsTable[[#This Row],[Source]]</f>
        <v/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0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0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0</v>
      </c>
      <c r="W37">
        <f>IF((DiscreteStatsTable[[#This Row],[RepsRequested]]&gt;1),DiscreteStatsTable[[#This Row],[HalfWidth]],DiscreteStatsTable[[#This Row],[BatchMeansHalfWidth]])</f>
        <v>0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60</v>
      </c>
      <c r="Y37">
        <f>IF(DiscreteStatsTable[[#This Row],[RepsRequested]]=DiscreteStatsTable[[#This Row],[RepsWithStatObserved]],1,0)</f>
        <v>0</v>
      </c>
    </row>
    <row r="38" spans="12:25" x14ac:dyDescent="0.25">
      <c r="L38" t="str">
        <f>DiscreteStatsTable[[#This Row],[ProjectName]]&amp;DiscreteStatsTable[[#This Row],[Name]]&amp;DiscreteStatsTable[[#This Row],[Type]]&amp;DiscreteStatsTable[[#This Row],[Source]]</f>
        <v/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0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60</v>
      </c>
      <c r="Y38">
        <f>IF(DiscreteStatsTable[[#This Row],[RepsRequested]]=DiscreteStatsTable[[#This Row],[RepsWithStatObserved]],1,0)</f>
        <v>0</v>
      </c>
    </row>
    <row r="39" spans="12:25" x14ac:dyDescent="0.25">
      <c r="L39" t="str">
        <f>DiscreteStatsTable[[#This Row],[ProjectName]]&amp;DiscreteStatsTable[[#This Row],[Name]]&amp;DiscreteStatsTable[[#This Row],[Type]]&amp;DiscreteStatsTable[[#This Row],[Source]]</f>
        <v/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0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60</v>
      </c>
      <c r="Y39">
        <f>IF(DiscreteStatsTable[[#This Row],[RepsRequested]]=DiscreteStatsTable[[#This Row],[RepsWithStatObserved]],1,0)</f>
        <v>0</v>
      </c>
    </row>
    <row r="40" spans="12:25" x14ac:dyDescent="0.25">
      <c r="L40" t="str">
        <f>DiscreteStatsTable[[#This Row],[ProjectName]]&amp;DiscreteStatsTable[[#This Row],[Name]]&amp;DiscreteStatsTable[[#This Row],[Type]]&amp;DiscreteStatsTable[[#This Row],[Source]]</f>
        <v/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0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0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0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0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0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0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0</v>
      </c>
      <c r="W40">
        <f>IF((DiscreteStatsTable[[#This Row],[RepsRequested]]&gt;1),DiscreteStatsTable[[#This Row],[HalfWidth]],DiscreteStatsTable[[#This Row],[BatchMeansHalfWidth]])</f>
        <v>0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60</v>
      </c>
      <c r="Y40">
        <f>IF(DiscreteStatsTable[[#This Row],[RepsRequested]]=DiscreteStatsTable[[#This Row],[RepsWithStatObserved]],1,0)</f>
        <v>0</v>
      </c>
    </row>
    <row r="41" spans="12:25" x14ac:dyDescent="0.25">
      <c r="L41" t="str">
        <f>DiscreteStatsTable[[#This Row],[ProjectName]]&amp;DiscreteStatsTable[[#This Row],[Name]]&amp;DiscreteStatsTable[[#This Row],[Type]]&amp;DiscreteStatsTable[[#This Row],[Source]]</f>
        <v/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0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60</v>
      </c>
      <c r="Y41">
        <f>IF(DiscreteStatsTable[[#This Row],[RepsRequested]]=DiscreteStatsTable[[#This Row],[RepsWithStatObserved]],1,0)</f>
        <v>0</v>
      </c>
    </row>
    <row r="42" spans="12:25" x14ac:dyDescent="0.25">
      <c r="L42" t="str">
        <f>DiscreteStatsTable[[#This Row],[ProjectName]]&amp;DiscreteStatsTable[[#This Row],[Name]]&amp;DiscreteStatsTable[[#This Row],[Type]]&amp;DiscreteStatsTable[[#This Row],[Source]]</f>
        <v/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0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0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0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0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0</v>
      </c>
      <c r="W42">
        <f>IF((DiscreteStatsTable[[#This Row],[RepsRequested]]&gt;1),DiscreteStatsTable[[#This Row],[HalfWidth]],DiscreteStatsTable[[#This Row],[BatchMeansHalfWidth]])</f>
        <v>0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60</v>
      </c>
      <c r="Y42">
        <f>IF(DiscreteStatsTable[[#This Row],[RepsRequested]]=DiscreteStatsTable[[#This Row],[RepsWithStatObserved]],1,0)</f>
        <v>0</v>
      </c>
    </row>
    <row r="43" spans="12:25" x14ac:dyDescent="0.25">
      <c r="L43" t="str">
        <f>DiscreteStatsTable[[#This Row],[ProjectName]]&amp;DiscreteStatsTable[[#This Row],[Name]]&amp;DiscreteStatsTable[[#This Row],[Type]]&amp;DiscreteStatsTable[[#This Row],[Source]]</f>
        <v/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0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0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0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0</v>
      </c>
      <c r="W43">
        <f>IF((DiscreteStatsTable[[#This Row],[RepsRequested]]&gt;1),DiscreteStatsTable[[#This Row],[HalfWidth]],DiscreteStatsTable[[#This Row],[BatchMeansHalfWidth]])</f>
        <v>0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60</v>
      </c>
      <c r="Y43">
        <f>IF(DiscreteStatsTable[[#This Row],[RepsRequested]]=DiscreteStatsTable[[#This Row],[RepsWithStatObserved]],1,0)</f>
        <v>0</v>
      </c>
    </row>
    <row r="44" spans="12:25" x14ac:dyDescent="0.25">
      <c r="L44" t="str">
        <f>DiscreteStatsTable[[#This Row],[ProjectName]]&amp;DiscreteStatsTable[[#This Row],[Name]]&amp;DiscreteStatsTable[[#This Row],[Type]]&amp;DiscreteStatsTable[[#This Row],[Source]]</f>
        <v/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0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60</v>
      </c>
      <c r="Y44">
        <f>IF(DiscreteStatsTable[[#This Row],[RepsRequested]]=DiscreteStatsTable[[#This Row],[RepsWithStatObserved]],1,0)</f>
        <v>0</v>
      </c>
    </row>
    <row r="45" spans="12:25" x14ac:dyDescent="0.25">
      <c r="L45" t="str">
        <f>DiscreteStatsTable[[#This Row],[ProjectName]]&amp;DiscreteStatsTable[[#This Row],[Name]]&amp;DiscreteStatsTable[[#This Row],[Type]]&amp;DiscreteStatsTable[[#This Row],[Source]]</f>
        <v/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0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60</v>
      </c>
      <c r="Y45">
        <f>IF(DiscreteStatsTable[[#This Row],[RepsRequested]]=DiscreteStatsTable[[#This Row],[RepsWithStatObserved]],1,0)</f>
        <v>0</v>
      </c>
    </row>
    <row r="46" spans="12:25" x14ac:dyDescent="0.25">
      <c r="L46" t="str">
        <f>DiscreteStatsTable[[#This Row],[ProjectName]]&amp;DiscreteStatsTable[[#This Row],[Name]]&amp;DiscreteStatsTable[[#This Row],[Type]]&amp;DiscreteStatsTable[[#This Row],[Source]]</f>
        <v/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0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0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0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0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0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0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0</v>
      </c>
      <c r="W46">
        <f>IF((DiscreteStatsTable[[#This Row],[RepsRequested]]&gt;1),DiscreteStatsTable[[#This Row],[HalfWidth]],DiscreteStatsTable[[#This Row],[BatchMeansHalfWidth]])</f>
        <v>0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60</v>
      </c>
      <c r="Y46">
        <f>IF(DiscreteStatsTable[[#This Row],[RepsRequested]]=DiscreteStatsTable[[#This Row],[RepsWithStatObserved]],1,0)</f>
        <v>0</v>
      </c>
    </row>
    <row r="47" spans="12:25" x14ac:dyDescent="0.25">
      <c r="L47" t="str">
        <f>DiscreteStatsTable[[#This Row],[ProjectName]]&amp;DiscreteStatsTable[[#This Row],[Name]]&amp;DiscreteStatsTable[[#This Row],[Type]]&amp;DiscreteStatsTable[[#This Row],[Source]]</f>
        <v/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0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60</v>
      </c>
      <c r="Y47">
        <f>IF(DiscreteStatsTable[[#This Row],[RepsRequested]]=DiscreteStatsTable[[#This Row],[RepsWithStatObserved]],1,0)</f>
        <v>0</v>
      </c>
    </row>
    <row r="48" spans="12:25" x14ac:dyDescent="0.25">
      <c r="L48" t="str">
        <f>DiscreteStatsTable[[#This Row],[ProjectName]]&amp;DiscreteStatsTable[[#This Row],[Name]]&amp;DiscreteStatsTable[[#This Row],[Type]]&amp;DiscreteStatsTable[[#This Row],[Source]]</f>
        <v/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0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0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0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0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0</v>
      </c>
      <c r="W48">
        <f>IF((DiscreteStatsTable[[#This Row],[RepsRequested]]&gt;1),DiscreteStatsTable[[#This Row],[HalfWidth]],DiscreteStatsTable[[#This Row],[BatchMeansHalfWidth]])</f>
        <v>0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60</v>
      </c>
      <c r="Y48">
        <f>IF(DiscreteStatsTable[[#This Row],[RepsRequested]]=DiscreteStatsTable[[#This Row],[RepsWithStatObserved]],1,0)</f>
        <v>0</v>
      </c>
    </row>
    <row r="49" spans="12:25" x14ac:dyDescent="0.25">
      <c r="L49" t="str">
        <f>DiscreteStatsTable[[#This Row],[ProjectName]]&amp;DiscreteStatsTable[[#This Row],[Name]]&amp;DiscreteStatsTable[[#This Row],[Type]]&amp;DiscreteStatsTable[[#This Row],[Source]]</f>
        <v/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0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0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0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0</v>
      </c>
      <c r="W49">
        <f>IF((DiscreteStatsTable[[#This Row],[RepsRequested]]&gt;1),DiscreteStatsTable[[#This Row],[HalfWidth]],DiscreteStatsTable[[#This Row],[BatchMeansHalfWidth]])</f>
        <v>0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60</v>
      </c>
      <c r="Y49">
        <f>IF(DiscreteStatsTable[[#This Row],[RepsRequested]]=DiscreteStatsTable[[#This Row],[RepsWithStatObserved]],1,0)</f>
        <v>0</v>
      </c>
    </row>
    <row r="50" spans="12:25" x14ac:dyDescent="0.25">
      <c r="L50" t="str">
        <f>DiscreteStatsTable[[#This Row],[ProjectName]]&amp;DiscreteStatsTable[[#This Row],[Name]]&amp;DiscreteStatsTable[[#This Row],[Type]]&amp;DiscreteStatsTable[[#This Row],[Source]]</f>
        <v/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0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60</v>
      </c>
      <c r="Y50">
        <f>IF(DiscreteStatsTable[[#This Row],[RepsRequested]]=DiscreteStatsTable[[#This Row],[RepsWithStatObserved]],1,0)</f>
        <v>0</v>
      </c>
    </row>
    <row r="51" spans="12:25" x14ac:dyDescent="0.25">
      <c r="L51" t="str">
        <f>DiscreteStatsTable[[#This Row],[ProjectName]]&amp;DiscreteStatsTable[[#This Row],[Name]]&amp;DiscreteStatsTable[[#This Row],[Type]]&amp;DiscreteStatsTable[[#This Row],[Source]]</f>
        <v/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0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60</v>
      </c>
      <c r="Y51">
        <f>IF(DiscreteStatsTable[[#This Row],[RepsRequested]]=DiscreteStatsTable[[#This Row],[RepsWithStatObserved]],1,0)</f>
        <v>0</v>
      </c>
    </row>
    <row r="52" spans="12:25" x14ac:dyDescent="0.25">
      <c r="L52" t="str">
        <f>DiscreteStatsTable[[#This Row],[ProjectName]]&amp;DiscreteStatsTable[[#This Row],[Name]]&amp;DiscreteStatsTable[[#This Row],[Type]]&amp;DiscreteStatsTable[[#This Row],[Source]]</f>
        <v/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0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0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0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0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0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0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0</v>
      </c>
      <c r="W52">
        <f>IF((DiscreteStatsTable[[#This Row],[RepsRequested]]&gt;1),DiscreteStatsTable[[#This Row],[HalfWidth]],DiscreteStatsTable[[#This Row],[BatchMeansHalfWidth]])</f>
        <v>0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60</v>
      </c>
      <c r="Y52">
        <f>IF(DiscreteStatsTable[[#This Row],[RepsRequested]]=DiscreteStatsTable[[#This Row],[RepsWithStatObserved]],1,0)</f>
        <v>0</v>
      </c>
    </row>
    <row r="53" spans="12:25" x14ac:dyDescent="0.25">
      <c r="L53" t="str">
        <f>DiscreteStatsTable[[#This Row],[ProjectName]]&amp;DiscreteStatsTable[[#This Row],[Name]]&amp;DiscreteStatsTable[[#This Row],[Type]]&amp;DiscreteStatsTable[[#This Row],[Source]]</f>
        <v/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0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60</v>
      </c>
      <c r="Y53">
        <f>IF(DiscreteStatsTable[[#This Row],[RepsRequested]]=DiscreteStatsTable[[#This Row],[RepsWithStatObserved]],1,0)</f>
        <v>0</v>
      </c>
    </row>
    <row r="54" spans="12:25" x14ac:dyDescent="0.25">
      <c r="L54" t="str">
        <f>DiscreteStatsTable[[#This Row],[ProjectName]]&amp;DiscreteStatsTable[[#This Row],[Name]]&amp;DiscreteStatsTable[[#This Row],[Type]]&amp;DiscreteStatsTable[[#This Row],[Source]]</f>
        <v/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0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0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0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0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0</v>
      </c>
      <c r="W54">
        <f>IF((DiscreteStatsTable[[#This Row],[RepsRequested]]&gt;1),DiscreteStatsTable[[#This Row],[HalfWidth]],DiscreteStatsTable[[#This Row],[BatchMeansHalfWidth]])</f>
        <v>0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60</v>
      </c>
      <c r="Y54">
        <f>IF(DiscreteStatsTable[[#This Row],[RepsRequested]]=DiscreteStatsTable[[#This Row],[RepsWithStatObserved]],1,0)</f>
        <v>0</v>
      </c>
    </row>
    <row r="55" spans="12:25" x14ac:dyDescent="0.25">
      <c r="L55" t="str">
        <f>DiscreteStatsTable[[#This Row],[ProjectName]]&amp;DiscreteStatsTable[[#This Row],[Name]]&amp;DiscreteStatsTable[[#This Row],[Type]]&amp;DiscreteStatsTable[[#This Row],[Source]]</f>
        <v/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0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0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0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0</v>
      </c>
      <c r="W55">
        <f>IF((DiscreteStatsTable[[#This Row],[RepsRequested]]&gt;1),DiscreteStatsTable[[#This Row],[HalfWidth]],DiscreteStatsTable[[#This Row],[BatchMeansHalfWidth]])</f>
        <v>0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60</v>
      </c>
      <c r="Y55">
        <f>IF(DiscreteStatsTable[[#This Row],[RepsRequested]]=DiscreteStatsTable[[#This Row],[RepsWithStatObserved]],1,0)</f>
        <v>0</v>
      </c>
    </row>
    <row r="56" spans="12:25" x14ac:dyDescent="0.25">
      <c r="L56" t="str">
        <f>DiscreteStatsTable[[#This Row],[ProjectName]]&amp;DiscreteStatsTable[[#This Row],[Name]]&amp;DiscreteStatsTable[[#This Row],[Type]]&amp;DiscreteStatsTable[[#This Row],[Source]]</f>
        <v/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0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60</v>
      </c>
      <c r="Y56">
        <f>IF(DiscreteStatsTable[[#This Row],[RepsRequested]]=DiscreteStatsTable[[#This Row],[RepsWithStatObserved]],1,0)</f>
        <v>0</v>
      </c>
    </row>
    <row r="57" spans="12:25" x14ac:dyDescent="0.25">
      <c r="L57" t="str">
        <f>DiscreteStatsTable[[#This Row],[ProjectName]]&amp;DiscreteStatsTable[[#This Row],[Name]]&amp;DiscreteStatsTable[[#This Row],[Type]]&amp;DiscreteStatsTable[[#This Row],[Source]]</f>
        <v/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0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60</v>
      </c>
      <c r="Y57">
        <f>IF(DiscreteStatsTable[[#This Row],[RepsRequested]]=DiscreteStatsTable[[#This Row],[RepsWithStatObserved]],1,0)</f>
        <v>0</v>
      </c>
    </row>
    <row r="58" spans="12:25" x14ac:dyDescent="0.25">
      <c r="L58" t="str">
        <f>DiscreteStatsTable[[#This Row],[ProjectName]]&amp;DiscreteStatsTable[[#This Row],[Name]]&amp;DiscreteStatsTable[[#This Row],[Type]]&amp;DiscreteStatsTable[[#This Row],[Source]]</f>
        <v/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0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0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0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0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0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0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0</v>
      </c>
      <c r="W58">
        <f>IF((DiscreteStatsTable[[#This Row],[RepsRequested]]&gt;1),DiscreteStatsTable[[#This Row],[HalfWidth]],DiscreteStatsTable[[#This Row],[BatchMeansHalfWidth]])</f>
        <v>0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60</v>
      </c>
      <c r="Y58">
        <f>IF(DiscreteStatsTable[[#This Row],[RepsRequested]]=DiscreteStatsTable[[#This Row],[RepsWithStatObserved]],1,0)</f>
        <v>0</v>
      </c>
    </row>
    <row r="59" spans="12:25" x14ac:dyDescent="0.25">
      <c r="L59" t="str">
        <f>DiscreteStatsTable[[#This Row],[ProjectName]]&amp;DiscreteStatsTable[[#This Row],[Name]]&amp;DiscreteStatsTable[[#This Row],[Type]]&amp;DiscreteStatsTable[[#This Row],[Source]]</f>
        <v/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0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60</v>
      </c>
      <c r="Y59">
        <f>IF(DiscreteStatsTable[[#This Row],[RepsRequested]]=DiscreteStatsTable[[#This Row],[RepsWithStatObserved]],1,0)</f>
        <v>0</v>
      </c>
    </row>
    <row r="60" spans="12:25" x14ac:dyDescent="0.25">
      <c r="L60" t="str">
        <f>DiscreteStatsTable[[#This Row],[ProjectName]]&amp;DiscreteStatsTable[[#This Row],[Name]]&amp;DiscreteStatsTable[[#This Row],[Type]]&amp;DiscreteStatsTable[[#This Row],[Source]]</f>
        <v/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0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0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0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0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0</v>
      </c>
      <c r="W60">
        <f>IF((DiscreteStatsTable[[#This Row],[RepsRequested]]&gt;1),DiscreteStatsTable[[#This Row],[HalfWidth]],DiscreteStatsTable[[#This Row],[BatchMeansHalfWidth]])</f>
        <v>0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60</v>
      </c>
      <c r="Y60">
        <f>IF(DiscreteStatsTable[[#This Row],[RepsRequested]]=DiscreteStatsTable[[#This Row],[RepsWithStatObserved]],1,0)</f>
        <v>0</v>
      </c>
    </row>
    <row r="61" spans="12:25" x14ac:dyDescent="0.25">
      <c r="L61" t="str">
        <f>DiscreteStatsTable[[#This Row],[ProjectName]]&amp;DiscreteStatsTable[[#This Row],[Name]]&amp;DiscreteStatsTable[[#This Row],[Type]]&amp;DiscreteStatsTable[[#This Row],[Source]]</f>
        <v/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0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0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0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0</v>
      </c>
      <c r="W61">
        <f>IF((DiscreteStatsTable[[#This Row],[RepsRequested]]&gt;1),DiscreteStatsTable[[#This Row],[HalfWidth]],DiscreteStatsTable[[#This Row],[BatchMeansHalfWidth]])</f>
        <v>0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60</v>
      </c>
      <c r="Y61">
        <f>IF(DiscreteStatsTable[[#This Row],[RepsRequested]]=DiscreteStatsTable[[#This Row],[RepsWithStatObserved]],1,0)</f>
        <v>0</v>
      </c>
    </row>
  </sheetData>
  <phoneticPr fontId="2" type="noConversion"/>
  <conditionalFormatting sqref="H2:H61 Q2:Q61">
    <cfRule type="expression" dxfId="60" priority="23">
      <formula>H2=200000000000000000000</formula>
    </cfRule>
  </conditionalFormatting>
  <conditionalFormatting sqref="H2:H61">
    <cfRule type="expression" dxfId="59" priority="21">
      <formula>H2=300000000000000000000</formula>
    </cfRule>
  </conditionalFormatting>
  <conditionalFormatting sqref="L2:Y61">
    <cfRule type="expression" dxfId="58" priority="19">
      <formula>MOD(ROW(),2)=0</formula>
    </cfRule>
  </conditionalFormatting>
  <conditionalFormatting sqref="Y2:Y61">
    <cfRule type="expression" dxfId="57" priority="14">
      <formula>Y2=0</formula>
    </cfRule>
    <cfRule type="expression" dxfId="56" priority="16">
      <formula>Y2=1</formula>
    </cfRule>
  </conditionalFormatting>
  <conditionalFormatting sqref="Y3:Y61">
    <cfRule type="expression" dxfId="55" priority="15">
      <formula>Y3=1</formula>
    </cfRule>
  </conditionalFormatting>
  <conditionalFormatting sqref="W2:W61">
    <cfRule type="expression" dxfId="54" priority="6">
      <formula>W2=300000000000000000000</formula>
    </cfRule>
    <cfRule type="expression" dxfId="53" priority="7">
      <formula>W2=200000000000000000000</formula>
    </cfRule>
  </conditionalFormatting>
  <conditionalFormatting sqref="Q2:Q61 W2:W61">
    <cfRule type="expression" dxfId="5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1"/>
  <sheetViews>
    <sheetView workbookViewId="0">
      <selection activeCell="A2" sqref="A2:L11"/>
    </sheetView>
  </sheetViews>
  <sheetFormatPr defaultRowHeight="15" x14ac:dyDescent="0.25"/>
  <cols>
    <col min="1" max="1" width="15.28515625" bestFit="1" customWidth="1"/>
    <col min="2" max="2" width="21.28515625" bestFit="1" customWidth="1"/>
    <col min="3" max="3" width="12.5703125" bestFit="1" customWidth="1"/>
    <col min="4" max="4" width="8.28515625" bestFit="1" customWidth="1"/>
    <col min="5" max="5" width="7.28515625" bestFit="1" customWidth="1"/>
    <col min="6" max="6" width="9" bestFit="1" customWidth="1"/>
    <col min="7" max="7" width="10.140625" bestFit="1" customWidth="1"/>
    <col min="8" max="8" width="22.28515625" bestFit="1" customWidth="1"/>
    <col min="9" max="9" width="11.42578125" bestFit="1" customWidth="1"/>
    <col min="10" max="10" width="11.7109375" bestFit="1" customWidth="1"/>
    <col min="11" max="11" width="19.5703125" bestFit="1" customWidth="1"/>
    <col min="12" max="12" width="11.28515625" bestFit="1" customWidth="1"/>
    <col min="13" max="13" width="29.7109375" bestFit="1" customWidth="1"/>
    <col min="14" max="14" width="16.28515625" bestFit="1" customWidth="1"/>
    <col min="15" max="15" width="19.140625" bestFit="1" customWidth="1"/>
    <col min="16" max="16" width="17.140625" bestFit="1" customWidth="1"/>
    <col min="17" max="17" width="19.42578125" bestFit="1" customWidth="1"/>
    <col min="18" max="18" width="11.7109375" bestFit="1" customWidth="1"/>
    <col min="19" max="19" width="18.42578125" bestFit="1" customWidth="1"/>
    <col min="20" max="20" width="18.7109375" bestFit="1" customWidth="1"/>
    <col min="21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M2" t="str">
        <f>ContinuousStatsTable[[#This Row],[ProjectName]]&amp;ContinuousStatsTable[[#This Row],[Name]]&amp;ContinuousStatsTable[[#This Row],[Type]]&amp;ContinuousStatsTable[[#This Row],[Source]]</f>
        <v/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</v>
      </c>
      <c r="U2">
        <f>IF((ContinuousStatsTable[[#This Row],[RepsRequested]]&gt;1),ContinuousStatsTable[[#This Row],[HalfWidth]],ContinuousStatsTable[[#This Row],[BatchMeansHalfWidth]])</f>
        <v>0</v>
      </c>
    </row>
    <row r="3" spans="1:21" x14ac:dyDescent="0.25">
      <c r="M3" t="str">
        <f>ContinuousStatsTable[[#This Row],[ProjectName]]&amp;ContinuousStatsTable[[#This Row],[Name]]&amp;ContinuousStatsTable[[#This Row],[Type]]&amp;ContinuousStatsTable[[#This Row],[Source]]</f>
        <v/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</v>
      </c>
      <c r="U3">
        <f>IF((ContinuousStatsTable[[#This Row],[RepsRequested]]&gt;1),ContinuousStatsTable[[#This Row],[HalfWidth]],ContinuousStatsTable[[#This Row],[BatchMeansHalfWidth]])</f>
        <v>0</v>
      </c>
    </row>
    <row r="4" spans="1:21" x14ac:dyDescent="0.25">
      <c r="M4" t="str">
        <f>ContinuousStatsTable[[#This Row],[ProjectName]]&amp;ContinuousStatsTable[[#This Row],[Name]]&amp;ContinuousStatsTable[[#This Row],[Type]]&amp;ContinuousStatsTable[[#This Row],[Source]]</f>
        <v/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</v>
      </c>
      <c r="U4">
        <f>IF((ContinuousStatsTable[[#This Row],[RepsRequested]]&gt;1),ContinuousStatsTable[[#This Row],[HalfWidth]],ContinuousStatsTable[[#This Row],[BatchMeansHalfWidth]])</f>
        <v>0</v>
      </c>
    </row>
    <row r="5" spans="1:21" x14ac:dyDescent="0.25">
      <c r="M5" t="str">
        <f>ContinuousStatsTable[[#This Row],[ProjectName]]&amp;ContinuousStatsTable[[#This Row],[Name]]&amp;ContinuousStatsTable[[#This Row],[Type]]&amp;ContinuousStatsTable[[#This Row],[Source]]</f>
        <v/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25">
      <c r="M6" t="str">
        <f>ContinuousStatsTable[[#This Row],[ProjectName]]&amp;ContinuousStatsTable[[#This Row],[Name]]&amp;ContinuousStatsTable[[#This Row],[Type]]&amp;ContinuousStatsTable[[#This Row],[Source]]</f>
        <v/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</v>
      </c>
      <c r="U6">
        <f>IF((ContinuousStatsTable[[#This Row],[RepsRequested]]&gt;1),ContinuousStatsTable[[#This Row],[HalfWidth]],ContinuousStatsTable[[#This Row],[BatchMeansHalfWidth]])</f>
        <v>0</v>
      </c>
    </row>
    <row r="7" spans="1:21" x14ac:dyDescent="0.25">
      <c r="M7" t="str">
        <f>ContinuousStatsTable[[#This Row],[ProjectName]]&amp;ContinuousStatsTable[[#This Row],[Name]]&amp;ContinuousStatsTable[[#This Row],[Type]]&amp;ContinuousStatsTable[[#This Row],[Source]]</f>
        <v/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</v>
      </c>
      <c r="U7">
        <f>IF((ContinuousStatsTable[[#This Row],[RepsRequested]]&gt;1),ContinuousStatsTable[[#This Row],[HalfWidth]],ContinuousStatsTable[[#This Row],[BatchMeansHalfWidth]])</f>
        <v>0</v>
      </c>
    </row>
    <row r="8" spans="1:21" x14ac:dyDescent="0.25">
      <c r="M8" t="str">
        <f>ContinuousStatsTable[[#This Row],[ProjectName]]&amp;ContinuousStatsTable[[#This Row],[Name]]&amp;ContinuousStatsTable[[#This Row],[Type]]&amp;ContinuousStatsTable[[#This Row],[Source]]</f>
        <v/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</v>
      </c>
      <c r="U8">
        <f>IF((ContinuousStatsTable[[#This Row],[RepsRequested]]&gt;1),ContinuousStatsTable[[#This Row],[HalfWidth]],ContinuousStatsTable[[#This Row],[BatchMeansHalfWidth]])</f>
        <v>0</v>
      </c>
    </row>
    <row r="9" spans="1:21" x14ac:dyDescent="0.25">
      <c r="M9" t="str">
        <f>ContinuousStatsTable[[#This Row],[ProjectName]]&amp;ContinuousStatsTable[[#This Row],[Name]]&amp;ContinuousStatsTable[[#This Row],[Type]]&amp;ContinuousStatsTable[[#This Row],[Source]]</f>
        <v/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</v>
      </c>
      <c r="U9">
        <f>IF((ContinuousStatsTable[[#This Row],[RepsRequested]]&gt;1),ContinuousStatsTable[[#This Row],[HalfWidth]],ContinuousStatsTable[[#This Row],[BatchMeansHalfWidth]])</f>
        <v>0</v>
      </c>
    </row>
    <row r="10" spans="1:21" x14ac:dyDescent="0.25">
      <c r="M10" t="str">
        <f>ContinuousStatsTable[[#This Row],[ProjectName]]&amp;ContinuousStatsTable[[#This Row],[Name]]&amp;ContinuousStatsTable[[#This Row],[Type]]&amp;ContinuousStatsTable[[#This Row],[Source]]</f>
        <v/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25">
      <c r="M11" t="str">
        <f>ContinuousStatsTable[[#This Row],[ProjectName]]&amp;ContinuousStatsTable[[#This Row],[Name]]&amp;ContinuousStatsTable[[#This Row],[Type]]&amp;ContinuousStatsTable[[#This Row],[Source]]</f>
        <v/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</v>
      </c>
      <c r="U11">
        <f>IF((ContinuousStatsTable[[#This Row],[RepsRequested]]&gt;1),ContinuousStatsTable[[#This Row],[HalfWidth]],ContinuousStatsTable[[#This Row],[BatchMeansHalfWidth]])</f>
        <v>0</v>
      </c>
    </row>
  </sheetData>
  <phoneticPr fontId="2" type="noConversion"/>
  <conditionalFormatting sqref="H2:H11">
    <cfRule type="expression" dxfId="37" priority="9">
      <formula>H2=200000000000000000000</formula>
    </cfRule>
  </conditionalFormatting>
  <conditionalFormatting sqref="H2:H11">
    <cfRule type="expression" dxfId="36" priority="7">
      <formula>H2=300000000000000000000</formula>
    </cfRule>
  </conditionalFormatting>
  <conditionalFormatting sqref="M2:U11">
    <cfRule type="expression" dxfId="35" priority="5">
      <formula>MOD(ROW(),2)=0</formula>
    </cfRule>
  </conditionalFormatting>
  <conditionalFormatting sqref="U2:U11">
    <cfRule type="expression" dxfId="34" priority="3">
      <formula>U2=200000000000000000000</formula>
    </cfRule>
    <cfRule type="expression" dxfId="33" priority="4">
      <formula>U2=300000000000000000000</formula>
    </cfRule>
  </conditionalFormatting>
  <conditionalFormatting sqref="R2:R11 U2:U11">
    <cfRule type="expression" dxfId="32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28515625" bestFit="1" customWidth="1"/>
    <col min="2" max="2" width="21.28515625" bestFit="1" customWidth="1"/>
    <col min="3" max="3" width="12.5703125" bestFit="1" customWidth="1"/>
    <col min="4" max="4" width="8.28515625" bestFit="1" customWidth="1"/>
    <col min="5" max="5" width="7.28515625" bestFit="1" customWidth="1"/>
    <col min="6" max="6" width="9" bestFit="1" customWidth="1"/>
    <col min="7" max="7" width="16.140625" bestFit="1" customWidth="1"/>
    <col min="8" max="8" width="13.7109375" bestFit="1" customWidth="1"/>
    <col min="9" max="9" width="16.28515625" bestFit="1" customWidth="1"/>
    <col min="10" max="10" width="10.140625" bestFit="1" customWidth="1"/>
    <col min="11" max="11" width="19" bestFit="1" customWidth="1"/>
    <col min="12" max="12" width="19.42578125" bestFit="1" customWidth="1"/>
    <col min="13" max="13" width="11.7109375" bestFit="1" customWidth="1"/>
    <col min="14" max="14" width="11.42578125" bestFit="1" customWidth="1"/>
    <col min="15" max="15" width="11.710937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22" priority="2">
      <formula>MOD(ROW(),2)=0</formula>
    </cfRule>
  </conditionalFormatting>
  <conditionalFormatting sqref="M2">
    <cfRule type="expression" dxfId="2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31"/>
  <sheetViews>
    <sheetView workbookViewId="0">
      <selection activeCell="A2" sqref="A2:H31"/>
    </sheetView>
  </sheetViews>
  <sheetFormatPr defaultRowHeight="15" x14ac:dyDescent="0.25"/>
  <cols>
    <col min="1" max="1" width="15.28515625" bestFit="1" customWidth="1"/>
    <col min="2" max="2" width="21.28515625" bestFit="1" customWidth="1"/>
    <col min="3" max="3" width="12.5703125" bestFit="1" customWidth="1"/>
    <col min="4" max="4" width="17.42578125" bestFit="1" customWidth="1"/>
    <col min="5" max="5" width="11" bestFit="1" customWidth="1"/>
    <col min="6" max="6" width="9" bestFit="1" customWidth="1"/>
    <col min="7" max="7" width="16.140625" bestFit="1" customWidth="1"/>
    <col min="8" max="8" width="11.28515625" bestFit="1" customWidth="1"/>
    <col min="9" max="9" width="47.7109375" bestFit="1" customWidth="1"/>
    <col min="10" max="10" width="16.28515625" bestFit="1" customWidth="1"/>
    <col min="11" max="11" width="10.140625" bestFit="1" customWidth="1"/>
    <col min="12" max="12" width="19" bestFit="1" customWidth="1"/>
    <col min="13" max="13" width="19.42578125" bestFit="1" customWidth="1"/>
    <col min="14" max="14" width="11.7109375" bestFit="1" customWidth="1"/>
    <col min="15" max="15" width="11.42578125" bestFit="1" customWidth="1"/>
    <col min="16" max="16" width="11.710937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I2" t="str">
        <f>OutputTable[[#This Row],[ProjectName]]&amp;OutputTable[[#This Row],[Name]]&amp;OutputTable[[#This Row],[Type]]&amp;OutputTable[[#This Row],[Source]]</f>
        <v/>
      </c>
      <c r="J2" cm="1">
        <f t="array" ref="J2">MAX(IF((ProjectInfoTable[ProjectName]=OutputTable[[#This Row],[ProjectName]]),(ProjectInfoTable[ProjectName]=OutputTable[[#This Row],[ProjectName]])*ProjectInfoTable[NumberOfReplications]))</f>
        <v>0</v>
      </c>
      <c r="K2" cm="1">
        <f t="array" ref="K2">IFERROR(AVERAGE(IF((OutputTable[GroupByKey]=OutputTable[[#This Row],[GroupByKey]]),(OutputTable[GroupByKey]=OutputTable[[#This Row],[GroupByKey]])*OutputTable[RecordedValue])),0)</f>
        <v>0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0</v>
      </c>
      <c r="P2" cm="1">
        <f t="array" ref="P2">MAX(IF((OutputTable[GroupByKey]=OutputTable[[#This Row],[GroupByKey]]),(OutputTable[GroupByKey]=OutputTable[[#This Row],[GroupByKey]])*OutputTable[RecordedValue]))</f>
        <v>0</v>
      </c>
    </row>
    <row r="3" spans="1:16" x14ac:dyDescent="0.25">
      <c r="I3" t="str">
        <f>OutputTable[[#This Row],[ProjectName]]&amp;OutputTable[[#This Row],[Name]]&amp;OutputTable[[#This Row],[Type]]&amp;OutputTable[[#This Row],[Source]]</f>
        <v/>
      </c>
      <c r="J3" cm="1">
        <f t="array" ref="J3">MAX(IF((ProjectInfoTable[ProjectName]=OutputTable[[#This Row],[ProjectName]]),(ProjectInfoTable[ProjectName]=OutputTable[[#This Row],[ProjectName]])*ProjectInfoTable[NumberOfReplications]))</f>
        <v>0</v>
      </c>
      <c r="K3" cm="1">
        <f t="array" ref="K3">IFERROR(AVERAGE(IF((OutputTable[GroupByKey]=OutputTable[[#This Row],[GroupByKey]]),(OutputTable[GroupByKey]=OutputTable[[#This Row],[GroupByKey]])*OutputTable[RecordedValue])),0)</f>
        <v>0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0</v>
      </c>
      <c r="P3" cm="1">
        <f t="array" ref="P3">MAX(IF((OutputTable[GroupByKey]=OutputTable[[#This Row],[GroupByKey]]),(OutputTable[GroupByKey]=OutputTable[[#This Row],[GroupByKey]])*OutputTable[RecordedValue]))</f>
        <v>0</v>
      </c>
    </row>
    <row r="4" spans="1:16" x14ac:dyDescent="0.25">
      <c r="I4" t="str">
        <f>OutputTable[[#This Row],[ProjectName]]&amp;OutputTable[[#This Row],[Name]]&amp;OutputTable[[#This Row],[Type]]&amp;OutputTable[[#This Row],[Source]]</f>
        <v/>
      </c>
      <c r="J4" cm="1">
        <f t="array" ref="J4">MAX(IF((ProjectInfoTable[ProjectName]=OutputTable[[#This Row],[ProjectName]]),(ProjectInfoTable[ProjectName]=OutputTable[[#This Row],[ProjectName]])*ProjectInfoTable[NumberOfReplications]))</f>
        <v>0</v>
      </c>
      <c r="K4" cm="1">
        <f t="array" ref="K4">IFERROR(AVERAGE(IF((OutputTable[GroupByKey]=OutputTable[[#This Row],[GroupByKey]]),(OutputTable[GroupByKey]=OutputTable[[#This Row],[GroupByKey]])*OutputTable[RecordedValue])),0)</f>
        <v>0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0</v>
      </c>
      <c r="P4" cm="1">
        <f t="array" ref="P4">MAX(IF((OutputTable[GroupByKey]=OutputTable[[#This Row],[GroupByKey]]),(OutputTable[GroupByKey]=OutputTable[[#This Row],[GroupByKey]])*OutputTable[RecordedValue]))</f>
        <v>0</v>
      </c>
    </row>
    <row r="5" spans="1:16" x14ac:dyDescent="0.25">
      <c r="I5" t="str">
        <f>OutputTable[[#This Row],[ProjectName]]&amp;OutputTable[[#This Row],[Name]]&amp;OutputTable[[#This Row],[Type]]&amp;OutputTable[[#This Row],[Source]]</f>
        <v/>
      </c>
      <c r="J5" cm="1">
        <f t="array" ref="J5">MAX(IF((ProjectInfoTable[ProjectName]=OutputTable[[#This Row],[ProjectName]]),(ProjectInfoTable[ProjectName]=OutputTable[[#This Row],[ProjectName]])*ProjectInfoTable[NumberOfReplications]))</f>
        <v>0</v>
      </c>
      <c r="K5" cm="1">
        <f t="array" ref="K5">IFERROR(AVERAGE(IF((OutputTable[GroupByKey]=OutputTable[[#This Row],[GroupByKey]]),(OutputTable[GroupByKey]=OutputTable[[#This Row],[GroupByKey]])*OutputTable[RecordedValue])),0)</f>
        <v>0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0</v>
      </c>
      <c r="P5" cm="1">
        <f t="array" ref="P5">MAX(IF((OutputTable[GroupByKey]=OutputTable[[#This Row],[GroupByKey]]),(OutputTable[GroupByKey]=OutputTable[[#This Row],[GroupByKey]])*OutputTable[RecordedValue]))</f>
        <v>0</v>
      </c>
    </row>
    <row r="6" spans="1:16" x14ac:dyDescent="0.25">
      <c r="I6" t="str">
        <f>OutputTable[[#This Row],[ProjectName]]&amp;OutputTable[[#This Row],[Name]]&amp;OutputTable[[#This Row],[Type]]&amp;OutputTable[[#This Row],[Source]]</f>
        <v/>
      </c>
      <c r="J6" cm="1">
        <f t="array" ref="J6">MAX(IF((ProjectInfoTable[ProjectName]=OutputTable[[#This Row],[ProjectName]]),(ProjectInfoTable[ProjectName]=OutputTable[[#This Row],[ProjectName]])*ProjectInfoTable[NumberOfReplications]))</f>
        <v>0</v>
      </c>
      <c r="K6" cm="1">
        <f t="array" ref="K6">IFERROR(AVERAGE(IF((OutputTable[GroupByKey]=OutputTable[[#This Row],[GroupByKey]]),(OutputTable[GroupByKey]=OutputTable[[#This Row],[GroupByKey]])*OutputTable[RecordedValue])),0)</f>
        <v>0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0</v>
      </c>
      <c r="P6" cm="1">
        <f t="array" ref="P6">MAX(IF((OutputTable[GroupByKey]=OutputTable[[#This Row],[GroupByKey]]),(OutputTable[GroupByKey]=OutputTable[[#This Row],[GroupByKey]])*OutputTable[RecordedValue]))</f>
        <v>0</v>
      </c>
    </row>
    <row r="7" spans="1:16" x14ac:dyDescent="0.25">
      <c r="I7" t="str">
        <f>OutputTable[[#This Row],[ProjectName]]&amp;OutputTable[[#This Row],[Name]]&amp;OutputTable[[#This Row],[Type]]&amp;OutputTable[[#This Row],[Source]]</f>
        <v/>
      </c>
      <c r="J7" cm="1">
        <f t="array" ref="J7">MAX(IF((ProjectInfoTable[ProjectName]=OutputTable[[#This Row],[ProjectName]]),(ProjectInfoTable[ProjectName]=OutputTable[[#This Row],[ProjectName]])*ProjectInfoTable[NumberOfReplications]))</f>
        <v>0</v>
      </c>
      <c r="K7" cm="1">
        <f t="array" ref="K7">IFERROR(AVERAGE(IF((OutputTable[GroupByKey]=OutputTable[[#This Row],[GroupByKey]]),(OutputTable[GroupByKey]=OutputTable[[#This Row],[GroupByKey]])*OutputTable[RecordedValue])),0)</f>
        <v>0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0</v>
      </c>
      <c r="P7" cm="1">
        <f t="array" ref="P7">MAX(IF((OutputTable[GroupByKey]=OutputTable[[#This Row],[GroupByKey]]),(OutputTable[GroupByKey]=OutputTable[[#This Row],[GroupByKey]])*OutputTable[RecordedValue]))</f>
        <v>0</v>
      </c>
    </row>
    <row r="8" spans="1:16" x14ac:dyDescent="0.25">
      <c r="I8" t="str">
        <f>OutputTable[[#This Row],[ProjectName]]&amp;OutputTable[[#This Row],[Name]]&amp;OutputTable[[#This Row],[Type]]&amp;OutputTable[[#This Row],[Source]]</f>
        <v/>
      </c>
      <c r="J8" cm="1">
        <f t="array" ref="J8">MAX(IF((ProjectInfoTable[ProjectName]=OutputTable[[#This Row],[ProjectName]]),(ProjectInfoTable[ProjectName]=OutputTable[[#This Row],[ProjectName]])*ProjectInfoTable[NumberOfReplications]))</f>
        <v>0</v>
      </c>
      <c r="K8" cm="1">
        <f t="array" ref="K8">IFERROR(AVERAGE(IF((OutputTable[GroupByKey]=OutputTable[[#This Row],[GroupByKey]]),(OutputTable[GroupByKey]=OutputTable[[#This Row],[GroupByKey]])*OutputTable[RecordedValue])),0)</f>
        <v>0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0</v>
      </c>
      <c r="P8" cm="1">
        <f t="array" ref="P8">MAX(IF((OutputTable[GroupByKey]=OutputTable[[#This Row],[GroupByKey]]),(OutputTable[GroupByKey]=OutputTable[[#This Row],[GroupByKey]])*OutputTable[RecordedValue]))</f>
        <v>0</v>
      </c>
    </row>
    <row r="9" spans="1:16" x14ac:dyDescent="0.25">
      <c r="I9" t="str">
        <f>OutputTable[[#This Row],[ProjectName]]&amp;OutputTable[[#This Row],[Name]]&amp;OutputTable[[#This Row],[Type]]&amp;OutputTable[[#This Row],[Source]]</f>
        <v/>
      </c>
      <c r="J9" cm="1">
        <f t="array" ref="J9">MAX(IF((ProjectInfoTable[ProjectName]=OutputTable[[#This Row],[ProjectName]]),(ProjectInfoTable[ProjectName]=OutputTable[[#This Row],[ProjectName]])*ProjectInfoTable[NumberOfReplications]))</f>
        <v>0</v>
      </c>
      <c r="K9" cm="1">
        <f t="array" ref="K9">IFERROR(AVERAGE(IF((OutputTable[GroupByKey]=OutputTable[[#This Row],[GroupByKey]]),(OutputTable[GroupByKey]=OutputTable[[#This Row],[GroupByKey]])*OutputTable[RecordedValue])),0)</f>
        <v>0</v>
      </c>
      <c r="L9" cm="1">
        <f t="array" ref="L9">IFERROR(_xlfn.STDEV.S(IF((OutputTable[GroupByKey]=OutputTable[[#This Row],[GroupByKey]]),(OutputTable[GroupByKey]=OutputTable[[#This Row],[GroupByKey]])*OutputTable[RecordedValue])),0)</f>
        <v>0</v>
      </c>
      <c r="M9" cm="1">
        <f t="array" ref="M9">MAX(IF((ProjectInfoTable[ProjectName]=OutputTable[[#This Row],[ProjectName]]),(ProjectInfoTable[ProjectName]=OutputTable[[#This Row],[ProjectName]])*ProjectInfoTable[ConfidenceInterval]))</f>
        <v>0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 cm="1">
        <f t="array" ref="O9">MIN(IF((OutputTable[GroupByKey]=OutputTable[[#This Row],[GroupByKey]]),(OutputTable[GroupByKey]=OutputTable[[#This Row],[GroupByKey]])*OutputTable[RecordedValue]))</f>
        <v>0</v>
      </c>
      <c r="P9" cm="1">
        <f t="array" ref="P9">MAX(IF((OutputTable[GroupByKey]=OutputTable[[#This Row],[GroupByKey]]),(OutputTable[GroupByKey]=OutputTable[[#This Row],[GroupByKey]])*OutputTable[RecordedValue]))</f>
        <v>0</v>
      </c>
    </row>
    <row r="10" spans="1:16" x14ac:dyDescent="0.25">
      <c r="I10" t="str">
        <f>OutputTable[[#This Row],[ProjectName]]&amp;OutputTable[[#This Row],[Name]]&amp;OutputTable[[#This Row],[Type]]&amp;OutputTable[[#This Row],[Source]]</f>
        <v/>
      </c>
      <c r="J10" cm="1">
        <f t="array" ref="J10">MAX(IF((ProjectInfoTable[ProjectName]=OutputTable[[#This Row],[ProjectName]]),(ProjectInfoTable[ProjectName]=OutputTable[[#This Row],[ProjectName]])*ProjectInfoTable[NumberOfReplications]))</f>
        <v>0</v>
      </c>
      <c r="K10" cm="1">
        <f t="array" ref="K10">IFERROR(AVERAGE(IF((OutputTable[GroupByKey]=OutputTable[[#This Row],[GroupByKey]]),(OutputTable[GroupByKey]=OutputTable[[#This Row],[GroupByKey]])*OutputTable[RecordedValue])),0)</f>
        <v>0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 cm="1">
        <f t="array" ref="O10">MIN(IF((OutputTable[GroupByKey]=OutputTable[[#This Row],[GroupByKey]]),(OutputTable[GroupByKey]=OutputTable[[#This Row],[GroupByKey]])*OutputTable[RecordedValue]))</f>
        <v>0</v>
      </c>
      <c r="P10" cm="1">
        <f t="array" ref="P10">MAX(IF((OutputTable[GroupByKey]=OutputTable[[#This Row],[GroupByKey]]),(OutputTable[GroupByKey]=OutputTable[[#This Row],[GroupByKey]])*OutputTable[RecordedValue]))</f>
        <v>0</v>
      </c>
    </row>
    <row r="11" spans="1:16" x14ac:dyDescent="0.25">
      <c r="I11" t="str">
        <f>OutputTable[[#This Row],[ProjectName]]&amp;OutputTable[[#This Row],[Name]]&amp;OutputTable[[#This Row],[Type]]&amp;OutputTable[[#This Row],[Source]]</f>
        <v/>
      </c>
      <c r="J11" cm="1">
        <f t="array" ref="J11">MAX(IF((ProjectInfoTable[ProjectName]=OutputTable[[#This Row],[ProjectName]]),(ProjectInfoTable[ProjectName]=OutputTable[[#This Row],[ProjectName]])*ProjectInfoTable[NumberOfReplications]))</f>
        <v>0</v>
      </c>
      <c r="K11" cm="1">
        <f t="array" ref="K11">IFERROR(AVERAGE(IF((OutputTable[GroupByKey]=OutputTable[[#This Row],[GroupByKey]]),(OutputTable[GroupByKey]=OutputTable[[#This Row],[GroupByKey]])*OutputTable[RecordedValue])),0)</f>
        <v>0</v>
      </c>
      <c r="L11" cm="1">
        <f t="array" ref="L11">IFERROR(_xlfn.STDEV.S(IF((OutputTable[GroupByKey]=OutputTable[[#This Row],[GroupByKey]]),(OutputTable[GroupByKey]=OutputTable[[#This Row],[GroupByKey]])*OutputTable[RecordedValue])),0)</f>
        <v>0</v>
      </c>
      <c r="M11" cm="1">
        <f t="array" ref="M11">MAX(IF((ProjectInfoTable[ProjectName]=OutputTable[[#This Row],[ProjectName]]),(ProjectInfoTable[ProjectName]=OutputTable[[#This Row],[ProjectName]])*ProjectInfoTable[ConfidenceInterval]))</f>
        <v>0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" cm="1">
        <f t="array" ref="O11">MIN(IF((OutputTable[GroupByKey]=OutputTable[[#This Row],[GroupByKey]]),(OutputTable[GroupByKey]=OutputTable[[#This Row],[GroupByKey]])*OutputTable[RecordedValue]))</f>
        <v>0</v>
      </c>
      <c r="P11" cm="1">
        <f t="array" ref="P11">MAX(IF((OutputTable[GroupByKey]=OutputTable[[#This Row],[GroupByKey]]),(OutputTable[GroupByKey]=OutputTable[[#This Row],[GroupByKey]])*OutputTable[RecordedValue]))</f>
        <v>0</v>
      </c>
    </row>
    <row r="12" spans="1:16" x14ac:dyDescent="0.25">
      <c r="I12" t="str">
        <f>OutputTable[[#This Row],[ProjectName]]&amp;OutputTable[[#This Row],[Name]]&amp;OutputTable[[#This Row],[Type]]&amp;OutputTable[[#This Row],[Source]]</f>
        <v/>
      </c>
      <c r="J12" cm="1">
        <f t="array" ref="J12">MAX(IF((ProjectInfoTable[ProjectName]=OutputTable[[#This Row],[ProjectName]]),(ProjectInfoTable[ProjectName]=OutputTable[[#This Row],[ProjectName]])*ProjectInfoTable[NumberOfReplications]))</f>
        <v>0</v>
      </c>
      <c r="K12" cm="1">
        <f t="array" ref="K12">IFERROR(AVERAGE(IF((OutputTable[GroupByKey]=OutputTable[[#This Row],[GroupByKey]]),(OutputTable[GroupByKey]=OutputTable[[#This Row],[GroupByKey]])*OutputTable[RecordedValue])),0)</f>
        <v>0</v>
      </c>
      <c r="L12" cm="1">
        <f t="array" ref="L12">IFERROR(_xlfn.STDEV.S(IF((OutputTable[GroupByKey]=OutputTable[[#This Row],[GroupByKey]]),(OutputTable[GroupByKey]=OutputTable[[#This Row],[GroupByKey]])*OutputTable[RecordedValue])),0)</f>
        <v>0</v>
      </c>
      <c r="M12" cm="1">
        <f t="array" ref="M12">MAX(IF((ProjectInfoTable[ProjectName]=OutputTable[[#This Row],[ProjectName]]),(ProjectInfoTable[ProjectName]=OutputTable[[#This Row],[ProjectName]])*ProjectInfoTable[ConfidenceInterval]))</f>
        <v>0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" cm="1">
        <f t="array" ref="O12">MIN(IF((OutputTable[GroupByKey]=OutputTable[[#This Row],[GroupByKey]]),(OutputTable[GroupByKey]=OutputTable[[#This Row],[GroupByKey]])*OutputTable[RecordedValue]))</f>
        <v>0</v>
      </c>
      <c r="P12" cm="1">
        <f t="array" ref="P12">MAX(IF((OutputTable[GroupByKey]=OutputTable[[#This Row],[GroupByKey]]),(OutputTable[GroupByKey]=OutputTable[[#This Row],[GroupByKey]])*OutputTable[RecordedValue]))</f>
        <v>0</v>
      </c>
    </row>
    <row r="13" spans="1:16" x14ac:dyDescent="0.25">
      <c r="I13" t="str">
        <f>OutputTable[[#This Row],[ProjectName]]&amp;OutputTable[[#This Row],[Name]]&amp;OutputTable[[#This Row],[Type]]&amp;OutputTable[[#This Row],[Source]]</f>
        <v/>
      </c>
      <c r="J13" cm="1">
        <f t="array" ref="J13">MAX(IF((ProjectInfoTable[ProjectName]=OutputTable[[#This Row],[ProjectName]]),(ProjectInfoTable[ProjectName]=OutputTable[[#This Row],[ProjectName]])*ProjectInfoTable[NumberOfReplications]))</f>
        <v>0</v>
      </c>
      <c r="K13" cm="1">
        <f t="array" ref="K13">IFERROR(AVERAGE(IF((OutputTable[GroupByKey]=OutputTable[[#This Row],[GroupByKey]]),(OutputTable[GroupByKey]=OutputTable[[#This Row],[GroupByKey]])*OutputTable[RecordedValue])),0)</f>
        <v>0</v>
      </c>
      <c r="L13" cm="1">
        <f t="array" ref="L13">IFERROR(_xlfn.STDEV.S(IF((OutputTable[GroupByKey]=OutputTable[[#This Row],[GroupByKey]]),(OutputTable[GroupByKey]=OutputTable[[#This Row],[GroupByKey]])*OutputTable[RecordedValue])),0)</f>
        <v>0</v>
      </c>
      <c r="M13" cm="1">
        <f t="array" ref="M13">MAX(IF((ProjectInfoTable[ProjectName]=OutputTable[[#This Row],[ProjectName]]),(ProjectInfoTable[ProjectName]=OutputTable[[#This Row],[ProjectName]])*ProjectInfoTable[ConfidenceInterval]))</f>
        <v>0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3" cm="1">
        <f t="array" ref="O13">MIN(IF((OutputTable[GroupByKey]=OutputTable[[#This Row],[GroupByKey]]),(OutputTable[GroupByKey]=OutputTable[[#This Row],[GroupByKey]])*OutputTable[RecordedValue]))</f>
        <v>0</v>
      </c>
      <c r="P13" cm="1">
        <f t="array" ref="P13">MAX(IF((OutputTable[GroupByKey]=OutputTable[[#This Row],[GroupByKey]]),(OutputTable[GroupByKey]=OutputTable[[#This Row],[GroupByKey]])*OutputTable[RecordedValue]))</f>
        <v>0</v>
      </c>
    </row>
    <row r="14" spans="1:16" x14ac:dyDescent="0.25">
      <c r="I14" t="str">
        <f>OutputTable[[#This Row],[ProjectName]]&amp;OutputTable[[#This Row],[Name]]&amp;OutputTable[[#This Row],[Type]]&amp;OutputTable[[#This Row],[Source]]</f>
        <v/>
      </c>
      <c r="J14" cm="1">
        <f t="array" ref="J14">MAX(IF((ProjectInfoTable[ProjectName]=OutputTable[[#This Row],[ProjectName]]),(ProjectInfoTable[ProjectName]=OutputTable[[#This Row],[ProjectName]])*ProjectInfoTable[NumberOfReplications]))</f>
        <v>0</v>
      </c>
      <c r="K14" cm="1">
        <f t="array" ref="K14">IFERROR(AVERAGE(IF((OutputTable[GroupByKey]=OutputTable[[#This Row],[GroupByKey]]),(OutputTable[GroupByKey]=OutputTable[[#This Row],[GroupByKey]])*OutputTable[RecordedValue])),0)</f>
        <v>0</v>
      </c>
      <c r="L14" cm="1">
        <f t="array" ref="L14">IFERROR(_xlfn.STDEV.S(IF((OutputTable[GroupByKey]=OutputTable[[#This Row],[GroupByKey]]),(OutputTable[GroupByKey]=OutputTable[[#This Row],[GroupByKey]])*OutputTable[RecordedValue])),0)</f>
        <v>0</v>
      </c>
      <c r="M14" cm="1">
        <f t="array" ref="M14">MAX(IF((ProjectInfoTable[ProjectName]=OutputTable[[#This Row],[ProjectName]]),(ProjectInfoTable[ProjectName]=OutputTable[[#This Row],[ProjectName]])*ProjectInfoTable[ConfidenceInterval]))</f>
        <v>0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4" cm="1">
        <f t="array" ref="O14">MIN(IF((OutputTable[GroupByKey]=OutputTable[[#This Row],[GroupByKey]]),(OutputTable[GroupByKey]=OutputTable[[#This Row],[GroupByKey]])*OutputTable[RecordedValue]))</f>
        <v>0</v>
      </c>
      <c r="P14" cm="1">
        <f t="array" ref="P14">MAX(IF((OutputTable[GroupByKey]=OutputTable[[#This Row],[GroupByKey]]),(OutputTable[GroupByKey]=OutputTable[[#This Row],[GroupByKey]])*OutputTable[RecordedValue]))</f>
        <v>0</v>
      </c>
    </row>
    <row r="15" spans="1:16" x14ac:dyDescent="0.25">
      <c r="I15" t="str">
        <f>OutputTable[[#This Row],[ProjectName]]&amp;OutputTable[[#This Row],[Name]]&amp;OutputTable[[#This Row],[Type]]&amp;OutputTable[[#This Row],[Source]]</f>
        <v/>
      </c>
      <c r="J15" cm="1">
        <f t="array" ref="J15">MAX(IF((ProjectInfoTable[ProjectName]=OutputTable[[#This Row],[ProjectName]]),(ProjectInfoTable[ProjectName]=OutputTable[[#This Row],[ProjectName]])*ProjectInfoTable[NumberOfReplications]))</f>
        <v>0</v>
      </c>
      <c r="K15" cm="1">
        <f t="array" ref="K15">IFERROR(AVERAGE(IF((OutputTable[GroupByKey]=OutputTable[[#This Row],[GroupByKey]]),(OutputTable[GroupByKey]=OutputTable[[#This Row],[GroupByKey]])*OutputTable[RecordedValue])),0)</f>
        <v>0</v>
      </c>
      <c r="L15" cm="1">
        <f t="array" ref="L15">IFERROR(_xlfn.STDEV.S(IF((OutputTable[GroupByKey]=OutputTable[[#This Row],[GroupByKey]]),(OutputTable[GroupByKey]=OutputTable[[#This Row],[GroupByKey]])*OutputTable[RecordedValue])),0)</f>
        <v>0</v>
      </c>
      <c r="M15" cm="1">
        <f t="array" ref="M15">MAX(IF((ProjectInfoTable[ProjectName]=OutputTable[[#This Row],[ProjectName]]),(ProjectInfoTable[ProjectName]=OutputTable[[#This Row],[ProjectName]])*ProjectInfoTable[ConfidenceInterval]))</f>
        <v>0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5" cm="1">
        <f t="array" ref="O15">MIN(IF((OutputTable[GroupByKey]=OutputTable[[#This Row],[GroupByKey]]),(OutputTable[GroupByKey]=OutputTable[[#This Row],[GroupByKey]])*OutputTable[RecordedValue]))</f>
        <v>0</v>
      </c>
      <c r="P15" cm="1">
        <f t="array" ref="P15">MAX(IF((OutputTable[GroupByKey]=OutputTable[[#This Row],[GroupByKey]]),(OutputTable[GroupByKey]=OutputTable[[#This Row],[GroupByKey]])*OutputTable[RecordedValue]))</f>
        <v>0</v>
      </c>
    </row>
    <row r="16" spans="1:16" x14ac:dyDescent="0.25">
      <c r="I16" t="str">
        <f>OutputTable[[#This Row],[ProjectName]]&amp;OutputTable[[#This Row],[Name]]&amp;OutputTable[[#This Row],[Type]]&amp;OutputTable[[#This Row],[Source]]</f>
        <v/>
      </c>
      <c r="J16" cm="1">
        <f t="array" ref="J16">MAX(IF((ProjectInfoTable[ProjectName]=OutputTable[[#This Row],[ProjectName]]),(ProjectInfoTable[ProjectName]=OutputTable[[#This Row],[ProjectName]])*ProjectInfoTable[NumberOfReplications]))</f>
        <v>0</v>
      </c>
      <c r="K16" cm="1">
        <f t="array" ref="K16">IFERROR(AVERAGE(IF((OutputTable[GroupByKey]=OutputTable[[#This Row],[GroupByKey]]),(OutputTable[GroupByKey]=OutputTable[[#This Row],[GroupByKey]])*OutputTable[RecordedValue])),0)</f>
        <v>0</v>
      </c>
      <c r="L16" cm="1">
        <f t="array" ref="L16">IFERROR(_xlfn.STDEV.S(IF((OutputTable[GroupByKey]=OutputTable[[#This Row],[GroupByKey]]),(OutputTable[GroupByKey]=OutputTable[[#This Row],[GroupByKey]])*OutputTable[RecordedValue])),0)</f>
        <v>0</v>
      </c>
      <c r="M16" cm="1">
        <f t="array" ref="M16">MAX(IF((ProjectInfoTable[ProjectName]=OutputTable[[#This Row],[ProjectName]]),(ProjectInfoTable[ProjectName]=OutputTable[[#This Row],[ProjectName]])*ProjectInfoTable[ConfidenceInterval]))</f>
        <v>0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6" cm="1">
        <f t="array" ref="O16">MIN(IF((OutputTable[GroupByKey]=OutputTable[[#This Row],[GroupByKey]]),(OutputTable[GroupByKey]=OutputTable[[#This Row],[GroupByKey]])*OutputTable[RecordedValue]))</f>
        <v>0</v>
      </c>
      <c r="P16" cm="1">
        <f t="array" ref="P16">MAX(IF((OutputTable[GroupByKey]=OutputTable[[#This Row],[GroupByKey]]),(OutputTable[GroupByKey]=OutputTable[[#This Row],[GroupByKey]])*OutputTable[RecordedValue]))</f>
        <v>0</v>
      </c>
    </row>
    <row r="17" spans="9:16" x14ac:dyDescent="0.25">
      <c r="I17" t="str">
        <f>OutputTable[[#This Row],[ProjectName]]&amp;OutputTable[[#This Row],[Name]]&amp;OutputTable[[#This Row],[Type]]&amp;OutputTable[[#This Row],[Source]]</f>
        <v/>
      </c>
      <c r="J17" cm="1">
        <f t="array" ref="J17">MAX(IF((ProjectInfoTable[ProjectName]=OutputTable[[#This Row],[ProjectName]]),(ProjectInfoTable[ProjectName]=OutputTable[[#This Row],[ProjectName]])*ProjectInfoTable[NumberOfReplications]))</f>
        <v>0</v>
      </c>
      <c r="K17" cm="1">
        <f t="array" ref="K17">IFERROR(AVERAGE(IF((OutputTable[GroupByKey]=OutputTable[[#This Row],[GroupByKey]]),(OutputTable[GroupByKey]=OutputTable[[#This Row],[GroupByKey]])*OutputTable[RecordedValue])),0)</f>
        <v>0</v>
      </c>
      <c r="L17" cm="1">
        <f t="array" ref="L17">IFERROR(_xlfn.STDEV.S(IF((OutputTable[GroupByKey]=OutputTable[[#This Row],[GroupByKey]]),(OutputTable[GroupByKey]=OutputTable[[#This Row],[GroupByKey]])*OutputTable[RecordedValue])),0)</f>
        <v>0</v>
      </c>
      <c r="M17" cm="1">
        <f t="array" ref="M17">MAX(IF((ProjectInfoTable[ProjectName]=OutputTable[[#This Row],[ProjectName]]),(ProjectInfoTable[ProjectName]=OutputTable[[#This Row],[ProjectName]])*ProjectInfoTable[ConfidenceInterval]))</f>
        <v>0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7" cm="1">
        <f t="array" ref="O17">MIN(IF((OutputTable[GroupByKey]=OutputTable[[#This Row],[GroupByKey]]),(OutputTable[GroupByKey]=OutputTable[[#This Row],[GroupByKey]])*OutputTable[RecordedValue]))</f>
        <v>0</v>
      </c>
      <c r="P17" cm="1">
        <f t="array" ref="P17">MAX(IF((OutputTable[GroupByKey]=OutputTable[[#This Row],[GroupByKey]]),(OutputTable[GroupByKey]=OutputTable[[#This Row],[GroupByKey]])*OutputTable[RecordedValue]))</f>
        <v>0</v>
      </c>
    </row>
    <row r="18" spans="9:16" x14ac:dyDescent="0.25">
      <c r="I18" t="str">
        <f>OutputTable[[#This Row],[ProjectName]]&amp;OutputTable[[#This Row],[Name]]&amp;OutputTable[[#This Row],[Type]]&amp;OutputTable[[#This Row],[Source]]</f>
        <v/>
      </c>
      <c r="J18" cm="1">
        <f t="array" ref="J18">MAX(IF((ProjectInfoTable[ProjectName]=OutputTable[[#This Row],[ProjectName]]),(ProjectInfoTable[ProjectName]=OutputTable[[#This Row],[ProjectName]])*ProjectInfoTable[NumberOfReplications]))</f>
        <v>0</v>
      </c>
      <c r="K18" cm="1">
        <f t="array" ref="K18">IFERROR(AVERAGE(IF((OutputTable[GroupByKey]=OutputTable[[#This Row],[GroupByKey]]),(OutputTable[GroupByKey]=OutputTable[[#This Row],[GroupByKey]])*OutputTable[RecordedValue])),0)</f>
        <v>0</v>
      </c>
      <c r="L18" cm="1">
        <f t="array" ref="L18">IFERROR(_xlfn.STDEV.S(IF((OutputTable[GroupByKey]=OutputTable[[#This Row],[GroupByKey]]),(OutputTable[GroupByKey]=OutputTable[[#This Row],[GroupByKey]])*OutputTable[RecordedValue])),0)</f>
        <v>0</v>
      </c>
      <c r="M18" cm="1">
        <f t="array" ref="M18">MAX(IF((ProjectInfoTable[ProjectName]=OutputTable[[#This Row],[ProjectName]]),(ProjectInfoTable[ProjectName]=OutputTable[[#This Row],[ProjectName]])*ProjectInfoTable[ConfidenceInterval]))</f>
        <v>0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8" cm="1">
        <f t="array" ref="O18">MIN(IF((OutputTable[GroupByKey]=OutputTable[[#This Row],[GroupByKey]]),(OutputTable[GroupByKey]=OutputTable[[#This Row],[GroupByKey]])*OutputTable[RecordedValue]))</f>
        <v>0</v>
      </c>
      <c r="P18" cm="1">
        <f t="array" ref="P18">MAX(IF((OutputTable[GroupByKey]=OutputTable[[#This Row],[GroupByKey]]),(OutputTable[GroupByKey]=OutputTable[[#This Row],[GroupByKey]])*OutputTable[RecordedValue]))</f>
        <v>0</v>
      </c>
    </row>
    <row r="19" spans="9:16" x14ac:dyDescent="0.25">
      <c r="I19" t="str">
        <f>OutputTable[[#This Row],[ProjectName]]&amp;OutputTable[[#This Row],[Name]]&amp;OutputTable[[#This Row],[Type]]&amp;OutputTable[[#This Row],[Source]]</f>
        <v/>
      </c>
      <c r="J19" cm="1">
        <f t="array" ref="J19">MAX(IF((ProjectInfoTable[ProjectName]=OutputTable[[#This Row],[ProjectName]]),(ProjectInfoTable[ProjectName]=OutputTable[[#This Row],[ProjectName]])*ProjectInfoTable[NumberOfReplications]))</f>
        <v>0</v>
      </c>
      <c r="K19" cm="1">
        <f t="array" ref="K19">IFERROR(AVERAGE(IF((OutputTable[GroupByKey]=OutputTable[[#This Row],[GroupByKey]]),(OutputTable[GroupByKey]=OutputTable[[#This Row],[GroupByKey]])*OutputTable[RecordedValue])),0)</f>
        <v>0</v>
      </c>
      <c r="L19" cm="1">
        <f t="array" ref="L19">IFERROR(_xlfn.STDEV.S(IF((OutputTable[GroupByKey]=OutputTable[[#This Row],[GroupByKey]]),(OutputTable[GroupByKey]=OutputTable[[#This Row],[GroupByKey]])*OutputTable[RecordedValue])),0)</f>
        <v>0</v>
      </c>
      <c r="M19" cm="1">
        <f t="array" ref="M19">MAX(IF((ProjectInfoTable[ProjectName]=OutputTable[[#This Row],[ProjectName]]),(ProjectInfoTable[ProjectName]=OutputTable[[#This Row],[ProjectName]])*ProjectInfoTable[ConfidenceInterval]))</f>
        <v>0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9" cm="1">
        <f t="array" ref="O19">MIN(IF((OutputTable[GroupByKey]=OutputTable[[#This Row],[GroupByKey]]),(OutputTable[GroupByKey]=OutputTable[[#This Row],[GroupByKey]])*OutputTable[RecordedValue]))</f>
        <v>0</v>
      </c>
      <c r="P19" cm="1">
        <f t="array" ref="P19">MAX(IF((OutputTable[GroupByKey]=OutputTable[[#This Row],[GroupByKey]]),(OutputTable[GroupByKey]=OutputTable[[#This Row],[GroupByKey]])*OutputTable[RecordedValue]))</f>
        <v>0</v>
      </c>
    </row>
    <row r="20" spans="9:16" x14ac:dyDescent="0.25">
      <c r="I20" t="str">
        <f>OutputTable[[#This Row],[ProjectName]]&amp;OutputTable[[#This Row],[Name]]&amp;OutputTable[[#This Row],[Type]]&amp;OutputTable[[#This Row],[Source]]</f>
        <v/>
      </c>
      <c r="J20" cm="1">
        <f t="array" ref="J20">MAX(IF((ProjectInfoTable[ProjectName]=OutputTable[[#This Row],[ProjectName]]),(ProjectInfoTable[ProjectName]=OutputTable[[#This Row],[ProjectName]])*ProjectInfoTable[NumberOfReplications]))</f>
        <v>0</v>
      </c>
      <c r="K20" cm="1">
        <f t="array" ref="K20">IFERROR(AVERAGE(IF((OutputTable[GroupByKey]=OutputTable[[#This Row],[GroupByKey]]),(OutputTable[GroupByKey]=OutputTable[[#This Row],[GroupByKey]])*OutputTable[RecordedValue])),0)</f>
        <v>0</v>
      </c>
      <c r="L20" cm="1">
        <f t="array" ref="L20">IFERROR(_xlfn.STDEV.S(IF((OutputTable[GroupByKey]=OutputTable[[#This Row],[GroupByKey]]),(OutputTable[GroupByKey]=OutputTable[[#This Row],[GroupByKey]])*OutputTable[RecordedValue])),0)</f>
        <v>0</v>
      </c>
      <c r="M20" cm="1">
        <f t="array" ref="M20">MAX(IF((ProjectInfoTable[ProjectName]=OutputTable[[#This Row],[ProjectName]]),(ProjectInfoTable[ProjectName]=OutputTable[[#This Row],[ProjectName]])*ProjectInfoTable[ConfidenceInterval]))</f>
        <v>0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0" cm="1">
        <f t="array" ref="O20">MIN(IF((OutputTable[GroupByKey]=OutputTable[[#This Row],[GroupByKey]]),(OutputTable[GroupByKey]=OutputTable[[#This Row],[GroupByKey]])*OutputTable[RecordedValue]))</f>
        <v>0</v>
      </c>
      <c r="P20" cm="1">
        <f t="array" ref="P20">MAX(IF((OutputTable[GroupByKey]=OutputTable[[#This Row],[GroupByKey]]),(OutputTable[GroupByKey]=OutputTable[[#This Row],[GroupByKey]])*OutputTable[RecordedValue]))</f>
        <v>0</v>
      </c>
    </row>
    <row r="21" spans="9:16" x14ac:dyDescent="0.25">
      <c r="I21" t="str">
        <f>OutputTable[[#This Row],[ProjectName]]&amp;OutputTable[[#This Row],[Name]]&amp;OutputTable[[#This Row],[Type]]&amp;OutputTable[[#This Row],[Source]]</f>
        <v/>
      </c>
      <c r="J21" cm="1">
        <f t="array" ref="J21">MAX(IF((ProjectInfoTable[ProjectName]=OutputTable[[#This Row],[ProjectName]]),(ProjectInfoTable[ProjectName]=OutputTable[[#This Row],[ProjectName]])*ProjectInfoTable[NumberOfReplications]))</f>
        <v>0</v>
      </c>
      <c r="K21" cm="1">
        <f t="array" ref="K21">IFERROR(AVERAGE(IF((OutputTable[GroupByKey]=OutputTable[[#This Row],[GroupByKey]]),(OutputTable[GroupByKey]=OutputTable[[#This Row],[GroupByKey]])*OutputTable[RecordedValue])),0)</f>
        <v>0</v>
      </c>
      <c r="L21" cm="1">
        <f t="array" ref="L21">IFERROR(_xlfn.STDEV.S(IF((OutputTable[GroupByKey]=OutputTable[[#This Row],[GroupByKey]]),(OutputTable[GroupByKey]=OutputTable[[#This Row],[GroupByKey]])*OutputTable[RecordedValue])),0)</f>
        <v>0</v>
      </c>
      <c r="M21" cm="1">
        <f t="array" ref="M21">MAX(IF((ProjectInfoTable[ProjectName]=OutputTable[[#This Row],[ProjectName]]),(ProjectInfoTable[ProjectName]=OutputTable[[#This Row],[ProjectName]])*ProjectInfoTable[ConfidenceInterval]))</f>
        <v>0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1" cm="1">
        <f t="array" ref="O21">MIN(IF((OutputTable[GroupByKey]=OutputTable[[#This Row],[GroupByKey]]),(OutputTable[GroupByKey]=OutputTable[[#This Row],[GroupByKey]])*OutputTable[RecordedValue]))</f>
        <v>0</v>
      </c>
      <c r="P21" cm="1">
        <f t="array" ref="P21">MAX(IF((OutputTable[GroupByKey]=OutputTable[[#This Row],[GroupByKey]]),(OutputTable[GroupByKey]=OutputTable[[#This Row],[GroupByKey]])*OutputTable[RecordedValue]))</f>
        <v>0</v>
      </c>
    </row>
    <row r="22" spans="9:16" x14ac:dyDescent="0.25">
      <c r="I22" t="str">
        <f>OutputTable[[#This Row],[ProjectName]]&amp;OutputTable[[#This Row],[Name]]&amp;OutputTable[[#This Row],[Type]]&amp;OutputTable[[#This Row],[Source]]</f>
        <v/>
      </c>
      <c r="J22" cm="1">
        <f t="array" ref="J22">MAX(IF((ProjectInfoTable[ProjectName]=OutputTable[[#This Row],[ProjectName]]),(ProjectInfoTable[ProjectName]=OutputTable[[#This Row],[ProjectName]])*ProjectInfoTable[NumberOfReplications]))</f>
        <v>0</v>
      </c>
      <c r="K22" cm="1">
        <f t="array" ref="K22">IFERROR(AVERAGE(IF((OutputTable[GroupByKey]=OutputTable[[#This Row],[GroupByKey]]),(OutputTable[GroupByKey]=OutputTable[[#This Row],[GroupByKey]])*OutputTable[RecordedValue])),0)</f>
        <v>0</v>
      </c>
      <c r="L22" cm="1">
        <f t="array" ref="L22">IFERROR(_xlfn.STDEV.S(IF((OutputTable[GroupByKey]=OutputTable[[#This Row],[GroupByKey]]),(OutputTable[GroupByKey]=OutputTable[[#This Row],[GroupByKey]])*OutputTable[RecordedValue])),0)</f>
        <v>0</v>
      </c>
      <c r="M22" cm="1">
        <f t="array" ref="M22">MAX(IF((ProjectInfoTable[ProjectName]=OutputTable[[#This Row],[ProjectName]]),(ProjectInfoTable[ProjectName]=OutputTable[[#This Row],[ProjectName]])*ProjectInfoTable[ConfidenceInterval]))</f>
        <v>0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2" cm="1">
        <f t="array" ref="O22">MIN(IF((OutputTable[GroupByKey]=OutputTable[[#This Row],[GroupByKey]]),(OutputTable[GroupByKey]=OutputTable[[#This Row],[GroupByKey]])*OutputTable[RecordedValue]))</f>
        <v>0</v>
      </c>
      <c r="P22" cm="1">
        <f t="array" ref="P22">MAX(IF((OutputTable[GroupByKey]=OutputTable[[#This Row],[GroupByKey]]),(OutputTable[GroupByKey]=OutputTable[[#This Row],[GroupByKey]])*OutputTable[RecordedValue]))</f>
        <v>0</v>
      </c>
    </row>
    <row r="23" spans="9:16" x14ac:dyDescent="0.25">
      <c r="I23" t="str">
        <f>OutputTable[[#This Row],[ProjectName]]&amp;OutputTable[[#This Row],[Name]]&amp;OutputTable[[#This Row],[Type]]&amp;OutputTable[[#This Row],[Source]]</f>
        <v/>
      </c>
      <c r="J23" cm="1">
        <f t="array" ref="J23">MAX(IF((ProjectInfoTable[ProjectName]=OutputTable[[#This Row],[ProjectName]]),(ProjectInfoTable[ProjectName]=OutputTable[[#This Row],[ProjectName]])*ProjectInfoTable[NumberOfReplications]))</f>
        <v>0</v>
      </c>
      <c r="K23" cm="1">
        <f t="array" ref="K23">IFERROR(AVERAGE(IF((OutputTable[GroupByKey]=OutputTable[[#This Row],[GroupByKey]]),(OutputTable[GroupByKey]=OutputTable[[#This Row],[GroupByKey]])*OutputTable[RecordedValue])),0)</f>
        <v>0</v>
      </c>
      <c r="L23" cm="1">
        <f t="array" ref="L23">IFERROR(_xlfn.STDEV.S(IF((OutputTable[GroupByKey]=OutputTable[[#This Row],[GroupByKey]]),(OutputTable[GroupByKey]=OutputTable[[#This Row],[GroupByKey]])*OutputTable[RecordedValue])),0)</f>
        <v>0</v>
      </c>
      <c r="M23" cm="1">
        <f t="array" ref="M23">MAX(IF((ProjectInfoTable[ProjectName]=OutputTable[[#This Row],[ProjectName]]),(ProjectInfoTable[ProjectName]=OutputTable[[#This Row],[ProjectName]])*ProjectInfoTable[ConfidenceInterval]))</f>
        <v>0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3" cm="1">
        <f t="array" ref="O23">MIN(IF((OutputTable[GroupByKey]=OutputTable[[#This Row],[GroupByKey]]),(OutputTable[GroupByKey]=OutputTable[[#This Row],[GroupByKey]])*OutputTable[RecordedValue]))</f>
        <v>0</v>
      </c>
      <c r="P23" cm="1">
        <f t="array" ref="P23">MAX(IF((OutputTable[GroupByKey]=OutputTable[[#This Row],[GroupByKey]]),(OutputTable[GroupByKey]=OutputTable[[#This Row],[GroupByKey]])*OutputTable[RecordedValue]))</f>
        <v>0</v>
      </c>
    </row>
    <row r="24" spans="9:16" x14ac:dyDescent="0.25">
      <c r="I24" t="str">
        <f>OutputTable[[#This Row],[ProjectName]]&amp;OutputTable[[#This Row],[Name]]&amp;OutputTable[[#This Row],[Type]]&amp;OutputTable[[#This Row],[Source]]</f>
        <v/>
      </c>
      <c r="J24" cm="1">
        <f t="array" ref="J24">MAX(IF((ProjectInfoTable[ProjectName]=OutputTable[[#This Row],[ProjectName]]),(ProjectInfoTable[ProjectName]=OutputTable[[#This Row],[ProjectName]])*ProjectInfoTable[NumberOfReplications]))</f>
        <v>0</v>
      </c>
      <c r="K24" cm="1">
        <f t="array" ref="K24">IFERROR(AVERAGE(IF((OutputTable[GroupByKey]=OutputTable[[#This Row],[GroupByKey]]),(OutputTable[GroupByKey]=OutputTable[[#This Row],[GroupByKey]])*OutputTable[RecordedValue])),0)</f>
        <v>0</v>
      </c>
      <c r="L24" cm="1">
        <f t="array" ref="L24">IFERROR(_xlfn.STDEV.S(IF((OutputTable[GroupByKey]=OutputTable[[#This Row],[GroupByKey]]),(OutputTable[GroupByKey]=OutputTable[[#This Row],[GroupByKey]])*OutputTable[RecordedValue])),0)</f>
        <v>0</v>
      </c>
      <c r="M24" cm="1">
        <f t="array" ref="M24">MAX(IF((ProjectInfoTable[ProjectName]=OutputTable[[#This Row],[ProjectName]]),(ProjectInfoTable[ProjectName]=OutputTable[[#This Row],[ProjectName]])*ProjectInfoTable[ConfidenceInterval]))</f>
        <v>0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4" cm="1">
        <f t="array" ref="O24">MIN(IF((OutputTable[GroupByKey]=OutputTable[[#This Row],[GroupByKey]]),(OutputTable[GroupByKey]=OutputTable[[#This Row],[GroupByKey]])*OutputTable[RecordedValue]))</f>
        <v>0</v>
      </c>
      <c r="P24" cm="1">
        <f t="array" ref="P24">MAX(IF((OutputTable[GroupByKey]=OutputTable[[#This Row],[GroupByKey]]),(OutputTable[GroupByKey]=OutputTable[[#This Row],[GroupByKey]])*OutputTable[RecordedValue]))</f>
        <v>0</v>
      </c>
    </row>
    <row r="25" spans="9:16" x14ac:dyDescent="0.25">
      <c r="I25" t="str">
        <f>OutputTable[[#This Row],[ProjectName]]&amp;OutputTable[[#This Row],[Name]]&amp;OutputTable[[#This Row],[Type]]&amp;OutputTable[[#This Row],[Source]]</f>
        <v/>
      </c>
      <c r="J25" cm="1">
        <f t="array" ref="J25">MAX(IF((ProjectInfoTable[ProjectName]=OutputTable[[#This Row],[ProjectName]]),(ProjectInfoTable[ProjectName]=OutputTable[[#This Row],[ProjectName]])*ProjectInfoTable[NumberOfReplications]))</f>
        <v>0</v>
      </c>
      <c r="K25" cm="1">
        <f t="array" ref="K25">IFERROR(AVERAGE(IF((OutputTable[GroupByKey]=OutputTable[[#This Row],[GroupByKey]]),(OutputTable[GroupByKey]=OutputTable[[#This Row],[GroupByKey]])*OutputTable[RecordedValue])),0)</f>
        <v>0</v>
      </c>
      <c r="L25" cm="1">
        <f t="array" ref="L25">IFERROR(_xlfn.STDEV.S(IF((OutputTable[GroupByKey]=OutputTable[[#This Row],[GroupByKey]]),(OutputTable[GroupByKey]=OutputTable[[#This Row],[GroupByKey]])*OutputTable[RecordedValue])),0)</f>
        <v>0</v>
      </c>
      <c r="M25" cm="1">
        <f t="array" ref="M25">MAX(IF((ProjectInfoTable[ProjectName]=OutputTable[[#This Row],[ProjectName]]),(ProjectInfoTable[ProjectName]=OutputTable[[#This Row],[ProjectName]])*ProjectInfoTable[ConfidenceInterval]))</f>
        <v>0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5" cm="1">
        <f t="array" ref="O25">MIN(IF((OutputTable[GroupByKey]=OutputTable[[#This Row],[GroupByKey]]),(OutputTable[GroupByKey]=OutputTable[[#This Row],[GroupByKey]])*OutputTable[RecordedValue]))</f>
        <v>0</v>
      </c>
      <c r="P25" cm="1">
        <f t="array" ref="P25">MAX(IF((OutputTable[GroupByKey]=OutputTable[[#This Row],[GroupByKey]]),(OutputTable[GroupByKey]=OutputTable[[#This Row],[GroupByKey]])*OutputTable[RecordedValue]))</f>
        <v>0</v>
      </c>
    </row>
    <row r="26" spans="9:16" x14ac:dyDescent="0.25">
      <c r="I26" t="str">
        <f>OutputTable[[#This Row],[ProjectName]]&amp;OutputTable[[#This Row],[Name]]&amp;OutputTable[[#This Row],[Type]]&amp;OutputTable[[#This Row],[Source]]</f>
        <v/>
      </c>
      <c r="J26" cm="1">
        <f t="array" ref="J26">MAX(IF((ProjectInfoTable[ProjectName]=OutputTable[[#This Row],[ProjectName]]),(ProjectInfoTable[ProjectName]=OutputTable[[#This Row],[ProjectName]])*ProjectInfoTable[NumberOfReplications]))</f>
        <v>0</v>
      </c>
      <c r="K26" cm="1">
        <f t="array" ref="K26">IFERROR(AVERAGE(IF((OutputTable[GroupByKey]=OutputTable[[#This Row],[GroupByKey]]),(OutputTable[GroupByKey]=OutputTable[[#This Row],[GroupByKey]])*OutputTable[RecordedValue])),0)</f>
        <v>0</v>
      </c>
      <c r="L26" cm="1">
        <f t="array" ref="L26">IFERROR(_xlfn.STDEV.S(IF((OutputTable[GroupByKey]=OutputTable[[#This Row],[GroupByKey]]),(OutputTable[GroupByKey]=OutputTable[[#This Row],[GroupByKey]])*OutputTable[RecordedValue])),0)</f>
        <v>0</v>
      </c>
      <c r="M26" cm="1">
        <f t="array" ref="M26">MAX(IF((ProjectInfoTable[ProjectName]=OutputTable[[#This Row],[ProjectName]]),(ProjectInfoTable[ProjectName]=OutputTable[[#This Row],[ProjectName]])*ProjectInfoTable[ConfidenceInterval]))</f>
        <v>0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6" cm="1">
        <f t="array" ref="O26">MIN(IF((OutputTable[GroupByKey]=OutputTable[[#This Row],[GroupByKey]]),(OutputTable[GroupByKey]=OutputTable[[#This Row],[GroupByKey]])*OutputTable[RecordedValue]))</f>
        <v>0</v>
      </c>
      <c r="P26" cm="1">
        <f t="array" ref="P26">MAX(IF((OutputTable[GroupByKey]=OutputTable[[#This Row],[GroupByKey]]),(OutputTable[GroupByKey]=OutputTable[[#This Row],[GroupByKey]])*OutputTable[RecordedValue]))</f>
        <v>0</v>
      </c>
    </row>
    <row r="27" spans="9:16" x14ac:dyDescent="0.25">
      <c r="I27" t="str">
        <f>OutputTable[[#This Row],[ProjectName]]&amp;OutputTable[[#This Row],[Name]]&amp;OutputTable[[#This Row],[Type]]&amp;OutputTable[[#This Row],[Source]]</f>
        <v/>
      </c>
      <c r="J27" cm="1">
        <f t="array" ref="J27">MAX(IF((ProjectInfoTable[ProjectName]=OutputTable[[#This Row],[ProjectName]]),(ProjectInfoTable[ProjectName]=OutputTable[[#This Row],[ProjectName]])*ProjectInfoTable[NumberOfReplications]))</f>
        <v>0</v>
      </c>
      <c r="K27" cm="1">
        <f t="array" ref="K27">IFERROR(AVERAGE(IF((OutputTable[GroupByKey]=OutputTable[[#This Row],[GroupByKey]]),(OutputTable[GroupByKey]=OutputTable[[#This Row],[GroupByKey]])*OutputTable[RecordedValue])),0)</f>
        <v>0</v>
      </c>
      <c r="L27" cm="1">
        <f t="array" ref="L27">IFERROR(_xlfn.STDEV.S(IF((OutputTable[GroupByKey]=OutputTable[[#This Row],[GroupByKey]]),(OutputTable[GroupByKey]=OutputTable[[#This Row],[GroupByKey]])*OutputTable[RecordedValue])),0)</f>
        <v>0</v>
      </c>
      <c r="M27" cm="1">
        <f t="array" ref="M27">MAX(IF((ProjectInfoTable[ProjectName]=OutputTable[[#This Row],[ProjectName]]),(ProjectInfoTable[ProjectName]=OutputTable[[#This Row],[ProjectName]])*ProjectInfoTable[ConfidenceInterval]))</f>
        <v>0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7" cm="1">
        <f t="array" ref="O27">MIN(IF((OutputTable[GroupByKey]=OutputTable[[#This Row],[GroupByKey]]),(OutputTable[GroupByKey]=OutputTable[[#This Row],[GroupByKey]])*OutputTable[RecordedValue]))</f>
        <v>0</v>
      </c>
      <c r="P27" cm="1">
        <f t="array" ref="P27">MAX(IF((OutputTable[GroupByKey]=OutputTable[[#This Row],[GroupByKey]]),(OutputTable[GroupByKey]=OutputTable[[#This Row],[GroupByKey]])*OutputTable[RecordedValue]))</f>
        <v>0</v>
      </c>
    </row>
    <row r="28" spans="9:16" x14ac:dyDescent="0.25">
      <c r="I28" t="str">
        <f>OutputTable[[#This Row],[ProjectName]]&amp;OutputTable[[#This Row],[Name]]&amp;OutputTable[[#This Row],[Type]]&amp;OutputTable[[#This Row],[Source]]</f>
        <v/>
      </c>
      <c r="J28" cm="1">
        <f t="array" ref="J28">MAX(IF((ProjectInfoTable[ProjectName]=OutputTable[[#This Row],[ProjectName]]),(ProjectInfoTable[ProjectName]=OutputTable[[#This Row],[ProjectName]])*ProjectInfoTable[NumberOfReplications]))</f>
        <v>0</v>
      </c>
      <c r="K28" cm="1">
        <f t="array" ref="K28">IFERROR(AVERAGE(IF((OutputTable[GroupByKey]=OutputTable[[#This Row],[GroupByKey]]),(OutputTable[GroupByKey]=OutputTable[[#This Row],[GroupByKey]])*OutputTable[RecordedValue])),0)</f>
        <v>0</v>
      </c>
      <c r="L28" cm="1">
        <f t="array" ref="L28">IFERROR(_xlfn.STDEV.S(IF((OutputTable[GroupByKey]=OutputTable[[#This Row],[GroupByKey]]),(OutputTable[GroupByKey]=OutputTable[[#This Row],[GroupByKey]])*OutputTable[RecordedValue])),0)</f>
        <v>0</v>
      </c>
      <c r="M28" cm="1">
        <f t="array" ref="M28">MAX(IF((ProjectInfoTable[ProjectName]=OutputTable[[#This Row],[ProjectName]]),(ProjectInfoTable[ProjectName]=OutputTable[[#This Row],[ProjectName]])*ProjectInfoTable[ConfidenceInterval]))</f>
        <v>0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8" cm="1">
        <f t="array" ref="O28">MIN(IF((OutputTable[GroupByKey]=OutputTable[[#This Row],[GroupByKey]]),(OutputTable[GroupByKey]=OutputTable[[#This Row],[GroupByKey]])*OutputTable[RecordedValue]))</f>
        <v>0</v>
      </c>
      <c r="P28" cm="1">
        <f t="array" ref="P28">MAX(IF((OutputTable[GroupByKey]=OutputTable[[#This Row],[GroupByKey]]),(OutputTable[GroupByKey]=OutputTable[[#This Row],[GroupByKey]])*OutputTable[RecordedValue]))</f>
        <v>0</v>
      </c>
    </row>
    <row r="29" spans="9:16" x14ac:dyDescent="0.25">
      <c r="I29" t="str">
        <f>OutputTable[[#This Row],[ProjectName]]&amp;OutputTable[[#This Row],[Name]]&amp;OutputTable[[#This Row],[Type]]&amp;OutputTable[[#This Row],[Source]]</f>
        <v/>
      </c>
      <c r="J29" cm="1">
        <f t="array" ref="J29">MAX(IF((ProjectInfoTable[ProjectName]=OutputTable[[#This Row],[ProjectName]]),(ProjectInfoTable[ProjectName]=OutputTable[[#This Row],[ProjectName]])*ProjectInfoTable[NumberOfReplications]))</f>
        <v>0</v>
      </c>
      <c r="K29" cm="1">
        <f t="array" ref="K29">IFERROR(AVERAGE(IF((OutputTable[GroupByKey]=OutputTable[[#This Row],[GroupByKey]]),(OutputTable[GroupByKey]=OutputTable[[#This Row],[GroupByKey]])*OutputTable[RecordedValue])),0)</f>
        <v>0</v>
      </c>
      <c r="L29" cm="1">
        <f t="array" ref="L29">IFERROR(_xlfn.STDEV.S(IF((OutputTable[GroupByKey]=OutputTable[[#This Row],[GroupByKey]]),(OutputTable[GroupByKey]=OutputTable[[#This Row],[GroupByKey]])*OutputTable[RecordedValue])),0)</f>
        <v>0</v>
      </c>
      <c r="M29" cm="1">
        <f t="array" ref="M29">MAX(IF((ProjectInfoTable[ProjectName]=OutputTable[[#This Row],[ProjectName]]),(ProjectInfoTable[ProjectName]=OutputTable[[#This Row],[ProjectName]])*ProjectInfoTable[ConfidenceInterval]))</f>
        <v>0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9" cm="1">
        <f t="array" ref="O29">MIN(IF((OutputTable[GroupByKey]=OutputTable[[#This Row],[GroupByKey]]),(OutputTable[GroupByKey]=OutputTable[[#This Row],[GroupByKey]])*OutputTable[RecordedValue]))</f>
        <v>0</v>
      </c>
      <c r="P29" cm="1">
        <f t="array" ref="P29">MAX(IF((OutputTable[GroupByKey]=OutputTable[[#This Row],[GroupByKey]]),(OutputTable[GroupByKey]=OutputTable[[#This Row],[GroupByKey]])*OutputTable[RecordedValue]))</f>
        <v>0</v>
      </c>
    </row>
    <row r="30" spans="9:16" x14ac:dyDescent="0.25">
      <c r="I30" t="str">
        <f>OutputTable[[#This Row],[ProjectName]]&amp;OutputTable[[#This Row],[Name]]&amp;OutputTable[[#This Row],[Type]]&amp;OutputTable[[#This Row],[Source]]</f>
        <v/>
      </c>
      <c r="J30" cm="1">
        <f t="array" ref="J30">MAX(IF((ProjectInfoTable[ProjectName]=OutputTable[[#This Row],[ProjectName]]),(ProjectInfoTable[ProjectName]=OutputTable[[#This Row],[ProjectName]])*ProjectInfoTable[NumberOfReplications]))</f>
        <v>0</v>
      </c>
      <c r="K30" cm="1">
        <f t="array" ref="K30">IFERROR(AVERAGE(IF((OutputTable[GroupByKey]=OutputTable[[#This Row],[GroupByKey]]),(OutputTable[GroupByKey]=OutputTable[[#This Row],[GroupByKey]])*OutputTable[RecordedValue])),0)</f>
        <v>0</v>
      </c>
      <c r="L30" cm="1">
        <f t="array" ref="L30">IFERROR(_xlfn.STDEV.S(IF((OutputTable[GroupByKey]=OutputTable[[#This Row],[GroupByKey]]),(OutputTable[GroupByKey]=OutputTable[[#This Row],[GroupByKey]])*OutputTable[RecordedValue])),0)</f>
        <v>0</v>
      </c>
      <c r="M30" cm="1">
        <f t="array" ref="M30">MAX(IF((ProjectInfoTable[ProjectName]=OutputTable[[#This Row],[ProjectName]]),(ProjectInfoTable[ProjectName]=OutputTable[[#This Row],[ProjectName]])*ProjectInfoTable[ConfidenceInterval]))</f>
        <v>0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0" cm="1">
        <f t="array" ref="O30">MIN(IF((OutputTable[GroupByKey]=OutputTable[[#This Row],[GroupByKey]]),(OutputTable[GroupByKey]=OutputTable[[#This Row],[GroupByKey]])*OutputTable[RecordedValue]))</f>
        <v>0</v>
      </c>
      <c r="P30" cm="1">
        <f t="array" ref="P30">MAX(IF((OutputTable[GroupByKey]=OutputTable[[#This Row],[GroupByKey]]),(OutputTable[GroupByKey]=OutputTable[[#This Row],[GroupByKey]])*OutputTable[RecordedValue]))</f>
        <v>0</v>
      </c>
    </row>
    <row r="31" spans="9:16" x14ac:dyDescent="0.25">
      <c r="I31" t="str">
        <f>OutputTable[[#This Row],[ProjectName]]&amp;OutputTable[[#This Row],[Name]]&amp;OutputTable[[#This Row],[Type]]&amp;OutputTable[[#This Row],[Source]]</f>
        <v/>
      </c>
      <c r="J31" cm="1">
        <f t="array" ref="J31">MAX(IF((ProjectInfoTable[ProjectName]=OutputTable[[#This Row],[ProjectName]]),(ProjectInfoTable[ProjectName]=OutputTable[[#This Row],[ProjectName]])*ProjectInfoTable[NumberOfReplications]))</f>
        <v>0</v>
      </c>
      <c r="K31" cm="1">
        <f t="array" ref="K31">IFERROR(AVERAGE(IF((OutputTable[GroupByKey]=OutputTable[[#This Row],[GroupByKey]]),(OutputTable[GroupByKey]=OutputTable[[#This Row],[GroupByKey]])*OutputTable[RecordedValue])),0)</f>
        <v>0</v>
      </c>
      <c r="L31" cm="1">
        <f t="array" ref="L31">IFERROR(_xlfn.STDEV.S(IF((OutputTable[GroupByKey]=OutputTable[[#This Row],[GroupByKey]]),(OutputTable[GroupByKey]=OutputTable[[#This Row],[GroupByKey]])*OutputTable[RecordedValue])),0)</f>
        <v>0</v>
      </c>
      <c r="M31" cm="1">
        <f t="array" ref="M31">MAX(IF((ProjectInfoTable[ProjectName]=OutputTable[[#This Row],[ProjectName]]),(ProjectInfoTable[ProjectName]=OutputTable[[#This Row],[ProjectName]])*ProjectInfoTable[ConfidenceInterval]))</f>
        <v>0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1" cm="1">
        <f t="array" ref="O31">MIN(IF((OutputTable[GroupByKey]=OutputTable[[#This Row],[GroupByKey]]),(OutputTable[GroupByKey]=OutputTable[[#This Row],[GroupByKey]])*OutputTable[RecordedValue]))</f>
        <v>0</v>
      </c>
      <c r="P31" cm="1">
        <f t="array" ref="P31">MAX(IF((OutputTable[GroupByKey]=OutputTable[[#This Row],[GroupByKey]]),(OutputTable[GroupByKey]=OutputTable[[#This Row],[GroupByKey]])*OutputTable[RecordedValue]))</f>
        <v>0</v>
      </c>
    </row>
  </sheetData>
  <phoneticPr fontId="2" type="noConversion"/>
  <conditionalFormatting sqref="I2:P31">
    <cfRule type="expression" dxfId="14" priority="2">
      <formula>MOD(ROW(),2)=0</formula>
    </cfRule>
  </conditionalFormatting>
  <conditionalFormatting sqref="N2:N31">
    <cfRule type="expression" dxfId="13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76"/>
  <sheetViews>
    <sheetView workbookViewId="0">
      <selection activeCell="A2" sqref="A2"/>
    </sheetView>
  </sheetViews>
  <sheetFormatPr defaultRowHeight="15" x14ac:dyDescent="0.25"/>
  <cols>
    <col min="1" max="1" width="15.28515625" bestFit="1" customWidth="1"/>
    <col min="2" max="2" width="21.28515625" bestFit="1" customWidth="1"/>
    <col min="3" max="3" width="12.5703125" bestFit="1" customWidth="1"/>
    <col min="4" max="4" width="8.28515625" bestFit="1" customWidth="1"/>
    <col min="5" max="5" width="10.7109375" bestFit="1" customWidth="1"/>
    <col min="6" max="6" width="12.5703125" bestFit="1" customWidth="1"/>
    <col min="7" max="7" width="20.5703125" bestFit="1" customWidth="1"/>
    <col min="8" max="8" width="21.28515625" bestFit="1" customWidth="1"/>
    <col min="9" max="9" width="23.7109375" bestFit="1" customWidth="1"/>
    <col min="10" max="10" width="25" bestFit="1" customWidth="1"/>
    <col min="11" max="11" width="15.28515625" bestFit="1" customWidth="1"/>
    <col min="12" max="12" width="30.42578125" bestFit="1" customWidth="1"/>
    <col min="13" max="13" width="28.85546875" bestFit="1" customWidth="1"/>
    <col min="14" max="14" width="29.5703125" bestFit="1" customWidth="1"/>
    <col min="15" max="15" width="16.28515625" bestFit="1" customWidth="1"/>
    <col min="16" max="16" width="27.7109375" bestFit="1" customWidth="1"/>
    <col min="17" max="17" width="28.28515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69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2" spans="1:17" x14ac:dyDescent="0.25">
      <c r="L2" t="str">
        <f>FrequencyTable[[#This Row],[ProjectName]]&amp;FrequencyTable[[#This Row],[Name]]&amp;FrequencyTable[[#This Row],[Category]]</f>
        <v/>
      </c>
      <c r="M2">
        <f>FrequencyTable[[#This Row],[StandardPercentage]]/100</f>
        <v>0</v>
      </c>
      <c r="N2">
        <f>IF(FrequencyTable[[#This Row],[IncludeOption]]=1,(FrequencyTable[[#This Row],[RestrictedPercentage]]/100),400000000000000000000)</f>
        <v>4E+20</v>
      </c>
      <c r="O2" cm="1">
        <f t="array" ref="O2">MAX(IF((ProjectInfoTable[ProjectName]=FrequencyTable[[#This Row],[ProjectName]]),(ProjectInfoTable[ProjectName]=FrequencyTable[[#This Row],[ProjectName]])*ProjectInfoTable[NumberOfReplications]))</f>
        <v>0</v>
      </c>
      <c r="P2" cm="1">
        <f t="array" ref="P2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2" cm="1">
        <f t="array" ref="Q2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3" spans="1:17" x14ac:dyDescent="0.25">
      <c r="L3" t="str">
        <f>FrequencyTable[[#This Row],[ProjectName]]&amp;FrequencyTable[[#This Row],[Name]]&amp;FrequencyTable[[#This Row],[Category]]</f>
        <v/>
      </c>
      <c r="M3">
        <f>FrequencyTable[[#This Row],[StandardPercentage]]/100</f>
        <v>0</v>
      </c>
      <c r="N3">
        <f>IF(FrequencyTable[[#This Row],[IncludeOption]]=1,(FrequencyTable[[#This Row],[RestrictedPercentage]]/100),400000000000000000000)</f>
        <v>4E+20</v>
      </c>
      <c r="O3" cm="1">
        <f t="array" ref="O3">MAX(IF((ProjectInfoTable[ProjectName]=FrequencyTable[[#This Row],[ProjectName]]),(ProjectInfoTable[ProjectName]=FrequencyTable[[#This Row],[ProjectName]])*ProjectInfoTable[NumberOfReplications]))</f>
        <v>0</v>
      </c>
      <c r="P3" cm="1">
        <f t="array" ref="P3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3" cm="1">
        <f t="array" ref="Q3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4" spans="1:17" x14ac:dyDescent="0.25">
      <c r="L4" t="str">
        <f>FrequencyTable[[#This Row],[ProjectName]]&amp;FrequencyTable[[#This Row],[Name]]&amp;FrequencyTable[[#This Row],[Category]]</f>
        <v/>
      </c>
      <c r="M4">
        <f>FrequencyTable[[#This Row],[StandardPercentage]]/100</f>
        <v>0</v>
      </c>
      <c r="N4">
        <f>IF(FrequencyTable[[#This Row],[IncludeOption]]=1,(FrequencyTable[[#This Row],[RestrictedPercentage]]/100),400000000000000000000)</f>
        <v>4E+20</v>
      </c>
      <c r="O4" cm="1">
        <f t="array" ref="O4">MAX(IF((ProjectInfoTable[ProjectName]=FrequencyTable[[#This Row],[ProjectName]]),(ProjectInfoTable[ProjectName]=FrequencyTable[[#This Row],[ProjectName]])*ProjectInfoTable[NumberOfReplications]))</f>
        <v>0</v>
      </c>
      <c r="P4" cm="1">
        <f t="array" ref="P4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4" cm="1">
        <f t="array" ref="Q4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5" spans="1:17" x14ac:dyDescent="0.25">
      <c r="L5" t="str">
        <f>FrequencyTable[[#This Row],[ProjectName]]&amp;FrequencyTable[[#This Row],[Name]]&amp;FrequencyTable[[#This Row],[Category]]</f>
        <v/>
      </c>
      <c r="M5">
        <f>FrequencyTable[[#This Row],[StandardPercentage]]/100</f>
        <v>0</v>
      </c>
      <c r="N5">
        <f>IF(FrequencyTable[[#This Row],[IncludeOption]]=1,(FrequencyTable[[#This Row],[RestrictedPercentage]]/100),400000000000000000000)</f>
        <v>4E+20</v>
      </c>
      <c r="O5" cm="1">
        <f t="array" ref="O5">MAX(IF((ProjectInfoTable[ProjectName]=FrequencyTable[[#This Row],[ProjectName]]),(ProjectInfoTable[ProjectName]=FrequencyTable[[#This Row],[ProjectName]])*ProjectInfoTable[NumberOfReplications]))</f>
        <v>0</v>
      </c>
      <c r="P5" cm="1">
        <f t="array" ref="P5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5" cm="1">
        <f t="array" ref="Q5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6" spans="1:17" x14ac:dyDescent="0.25">
      <c r="L6" t="str">
        <f>FrequencyTable[[#This Row],[ProjectName]]&amp;FrequencyTable[[#This Row],[Name]]&amp;FrequencyTable[[#This Row],[Category]]</f>
        <v/>
      </c>
      <c r="M6">
        <f>FrequencyTable[[#This Row],[StandardPercentage]]/100</f>
        <v>0</v>
      </c>
      <c r="N6">
        <f>IF(FrequencyTable[[#This Row],[IncludeOption]]=1,(FrequencyTable[[#This Row],[RestrictedPercentage]]/100),400000000000000000000)</f>
        <v>4E+20</v>
      </c>
      <c r="O6" cm="1">
        <f t="array" ref="O6">MAX(IF((ProjectInfoTable[ProjectName]=FrequencyTable[[#This Row],[ProjectName]]),(ProjectInfoTable[ProjectName]=FrequencyTable[[#This Row],[ProjectName]])*ProjectInfoTable[NumberOfReplications]))</f>
        <v>0</v>
      </c>
      <c r="P6" cm="1">
        <f t="array" ref="P6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6" cm="1">
        <f t="array" ref="Q6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7" spans="1:17" x14ac:dyDescent="0.25">
      <c r="L7" t="str">
        <f>FrequencyTable[[#This Row],[ProjectName]]&amp;FrequencyTable[[#This Row],[Name]]&amp;FrequencyTable[[#This Row],[Category]]</f>
        <v/>
      </c>
      <c r="M7">
        <f>FrequencyTable[[#This Row],[StandardPercentage]]/100</f>
        <v>0</v>
      </c>
      <c r="N7">
        <f>IF(FrequencyTable[[#This Row],[IncludeOption]]=1,(FrequencyTable[[#This Row],[RestrictedPercentage]]/100),400000000000000000000)</f>
        <v>4E+20</v>
      </c>
      <c r="O7" cm="1">
        <f t="array" ref="O7">MAX(IF((ProjectInfoTable[ProjectName]=FrequencyTable[[#This Row],[ProjectName]]),(ProjectInfoTable[ProjectName]=FrequencyTable[[#This Row],[ProjectName]])*ProjectInfoTable[NumberOfReplications]))</f>
        <v>0</v>
      </c>
      <c r="P7" cm="1">
        <f t="array" ref="P7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7" cm="1">
        <f t="array" ref="Q7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8" spans="1:17" x14ac:dyDescent="0.25">
      <c r="L8" t="str">
        <f>FrequencyTable[[#This Row],[ProjectName]]&amp;FrequencyTable[[#This Row],[Name]]&amp;FrequencyTable[[#This Row],[Category]]</f>
        <v/>
      </c>
      <c r="M8">
        <f>FrequencyTable[[#This Row],[StandardPercentage]]/100</f>
        <v>0</v>
      </c>
      <c r="N8">
        <f>IF(FrequencyTable[[#This Row],[IncludeOption]]=1,(FrequencyTable[[#This Row],[RestrictedPercentage]]/100),400000000000000000000)</f>
        <v>4E+20</v>
      </c>
      <c r="O8" cm="1">
        <f t="array" ref="O8">MAX(IF((ProjectInfoTable[ProjectName]=FrequencyTable[[#This Row],[ProjectName]]),(ProjectInfoTable[ProjectName]=FrequencyTable[[#This Row],[ProjectName]])*ProjectInfoTable[NumberOfReplications]))</f>
        <v>0</v>
      </c>
      <c r="P8" cm="1">
        <f t="array" ref="P8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8" cm="1">
        <f t="array" ref="Q8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9" spans="1:17" x14ac:dyDescent="0.25">
      <c r="L9" t="str">
        <f>FrequencyTable[[#This Row],[ProjectName]]&amp;FrequencyTable[[#This Row],[Name]]&amp;FrequencyTable[[#This Row],[Category]]</f>
        <v/>
      </c>
      <c r="M9">
        <f>FrequencyTable[[#This Row],[StandardPercentage]]/100</f>
        <v>0</v>
      </c>
      <c r="N9">
        <f>IF(FrequencyTable[[#This Row],[IncludeOption]]=1,(FrequencyTable[[#This Row],[RestrictedPercentage]]/100),400000000000000000000)</f>
        <v>4E+20</v>
      </c>
      <c r="O9" cm="1">
        <f t="array" ref="O9">MAX(IF((ProjectInfoTable[ProjectName]=FrequencyTable[[#This Row],[ProjectName]]),(ProjectInfoTable[ProjectName]=FrequencyTable[[#This Row],[ProjectName]])*ProjectInfoTable[NumberOfReplications]))</f>
        <v>0</v>
      </c>
      <c r="P9" cm="1">
        <f t="array" ref="P9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9" cm="1">
        <f t="array" ref="Q9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10" spans="1:17" x14ac:dyDescent="0.25">
      <c r="L10" t="str">
        <f>FrequencyTable[[#This Row],[ProjectName]]&amp;FrequencyTable[[#This Row],[Name]]&amp;FrequencyTable[[#This Row],[Category]]</f>
        <v/>
      </c>
      <c r="M10">
        <f>FrequencyTable[[#This Row],[StandardPercentage]]/100</f>
        <v>0</v>
      </c>
      <c r="N10">
        <f>IF(FrequencyTable[[#This Row],[IncludeOption]]=1,(FrequencyTable[[#This Row],[RestrictedPercentage]]/100),400000000000000000000)</f>
        <v>4E+20</v>
      </c>
      <c r="O10" cm="1">
        <f t="array" ref="O10">MAX(IF((ProjectInfoTable[ProjectName]=FrequencyTable[[#This Row],[ProjectName]]),(ProjectInfoTable[ProjectName]=FrequencyTable[[#This Row],[ProjectName]])*ProjectInfoTable[NumberOfReplications]))</f>
        <v>0</v>
      </c>
      <c r="P10" cm="1">
        <f t="array" ref="P10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10" cm="1">
        <f t="array" ref="Q10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11" spans="1:17" x14ac:dyDescent="0.25">
      <c r="L11" t="str">
        <f>FrequencyTable[[#This Row],[ProjectName]]&amp;FrequencyTable[[#This Row],[Name]]&amp;FrequencyTable[[#This Row],[Category]]</f>
        <v/>
      </c>
      <c r="M11">
        <f>FrequencyTable[[#This Row],[StandardPercentage]]/100</f>
        <v>0</v>
      </c>
      <c r="N11">
        <f>IF(FrequencyTable[[#This Row],[IncludeOption]]=1,(FrequencyTable[[#This Row],[RestrictedPercentage]]/100),400000000000000000000)</f>
        <v>4E+20</v>
      </c>
      <c r="O11" cm="1">
        <f t="array" ref="O11">MAX(IF((ProjectInfoTable[ProjectName]=FrequencyTable[[#This Row],[ProjectName]]),(ProjectInfoTable[ProjectName]=FrequencyTable[[#This Row],[ProjectName]])*ProjectInfoTable[NumberOfReplications]))</f>
        <v>0</v>
      </c>
      <c r="P11" cm="1">
        <f t="array" ref="P11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11" cm="1">
        <f t="array" ref="Q1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12" spans="1:17" x14ac:dyDescent="0.25">
      <c r="L12" t="str">
        <f>FrequencyTable[[#This Row],[ProjectName]]&amp;FrequencyTable[[#This Row],[Name]]&amp;FrequencyTable[[#This Row],[Category]]</f>
        <v/>
      </c>
      <c r="M12">
        <f>FrequencyTable[[#This Row],[StandardPercentage]]/100</f>
        <v>0</v>
      </c>
      <c r="N12">
        <f>IF(FrequencyTable[[#This Row],[IncludeOption]]=1,(FrequencyTable[[#This Row],[RestrictedPercentage]]/100),400000000000000000000)</f>
        <v>4E+20</v>
      </c>
      <c r="O12" cm="1">
        <f t="array" ref="O12">MAX(IF((ProjectInfoTable[ProjectName]=FrequencyTable[[#This Row],[ProjectName]]),(ProjectInfoTable[ProjectName]=FrequencyTable[[#This Row],[ProjectName]])*ProjectInfoTable[NumberOfReplications]))</f>
        <v>0</v>
      </c>
      <c r="P12" cm="1">
        <f t="array" ref="P12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12" cm="1">
        <f t="array" ref="Q12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13" spans="1:17" x14ac:dyDescent="0.25">
      <c r="L13" t="str">
        <f>FrequencyTable[[#This Row],[ProjectName]]&amp;FrequencyTable[[#This Row],[Name]]&amp;FrequencyTable[[#This Row],[Category]]</f>
        <v/>
      </c>
      <c r="M13">
        <f>FrequencyTable[[#This Row],[StandardPercentage]]/100</f>
        <v>0</v>
      </c>
      <c r="N13">
        <f>IF(FrequencyTable[[#This Row],[IncludeOption]]=1,(FrequencyTable[[#This Row],[RestrictedPercentage]]/100),400000000000000000000)</f>
        <v>4E+20</v>
      </c>
      <c r="O13" cm="1">
        <f t="array" ref="O13">MAX(IF((ProjectInfoTable[ProjectName]=FrequencyTable[[#This Row],[ProjectName]]),(ProjectInfoTable[ProjectName]=FrequencyTable[[#This Row],[ProjectName]])*ProjectInfoTable[NumberOfReplications]))</f>
        <v>0</v>
      </c>
      <c r="P13" cm="1">
        <f t="array" ref="P13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13" cm="1">
        <f t="array" ref="Q13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14" spans="1:17" x14ac:dyDescent="0.25">
      <c r="L14" t="str">
        <f>FrequencyTable[[#This Row],[ProjectName]]&amp;FrequencyTable[[#This Row],[Name]]&amp;FrequencyTable[[#This Row],[Category]]</f>
        <v/>
      </c>
      <c r="M14">
        <f>FrequencyTable[[#This Row],[StandardPercentage]]/100</f>
        <v>0</v>
      </c>
      <c r="N14">
        <f>IF(FrequencyTable[[#This Row],[IncludeOption]]=1,(FrequencyTable[[#This Row],[RestrictedPercentage]]/100),400000000000000000000)</f>
        <v>4E+20</v>
      </c>
      <c r="O14" cm="1">
        <f t="array" ref="O14">MAX(IF((ProjectInfoTable[ProjectName]=FrequencyTable[[#This Row],[ProjectName]]),(ProjectInfoTable[ProjectName]=FrequencyTable[[#This Row],[ProjectName]])*ProjectInfoTable[NumberOfReplications]))</f>
        <v>0</v>
      </c>
      <c r="P14" cm="1">
        <f t="array" ref="P14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14" cm="1">
        <f t="array" ref="Q14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15" spans="1:17" x14ac:dyDescent="0.25">
      <c r="L15" t="str">
        <f>FrequencyTable[[#This Row],[ProjectName]]&amp;FrequencyTable[[#This Row],[Name]]&amp;FrequencyTable[[#This Row],[Category]]</f>
        <v/>
      </c>
      <c r="M15">
        <f>FrequencyTable[[#This Row],[StandardPercentage]]/100</f>
        <v>0</v>
      </c>
      <c r="N15">
        <f>IF(FrequencyTable[[#This Row],[IncludeOption]]=1,(FrequencyTable[[#This Row],[RestrictedPercentage]]/100),400000000000000000000)</f>
        <v>4E+20</v>
      </c>
      <c r="O15" cm="1">
        <f t="array" ref="O15">MAX(IF((ProjectInfoTable[ProjectName]=FrequencyTable[[#This Row],[ProjectName]]),(ProjectInfoTable[ProjectName]=FrequencyTable[[#This Row],[ProjectName]])*ProjectInfoTable[NumberOfReplications]))</f>
        <v>0</v>
      </c>
      <c r="P15" cm="1">
        <f t="array" ref="P15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15" cm="1">
        <f t="array" ref="Q15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16" spans="1:17" x14ac:dyDescent="0.25">
      <c r="L16" t="str">
        <f>FrequencyTable[[#This Row],[ProjectName]]&amp;FrequencyTable[[#This Row],[Name]]&amp;FrequencyTable[[#This Row],[Category]]</f>
        <v/>
      </c>
      <c r="M16">
        <f>FrequencyTable[[#This Row],[StandardPercentage]]/100</f>
        <v>0</v>
      </c>
      <c r="N16">
        <f>IF(FrequencyTable[[#This Row],[IncludeOption]]=1,(FrequencyTable[[#This Row],[RestrictedPercentage]]/100),400000000000000000000)</f>
        <v>4E+20</v>
      </c>
      <c r="O16" cm="1">
        <f t="array" ref="O16">MAX(IF((ProjectInfoTable[ProjectName]=FrequencyTable[[#This Row],[ProjectName]]),(ProjectInfoTable[ProjectName]=FrequencyTable[[#This Row],[ProjectName]])*ProjectInfoTable[NumberOfReplications]))</f>
        <v>0</v>
      </c>
      <c r="P16" cm="1">
        <f t="array" ref="P16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16" cm="1">
        <f t="array" ref="Q16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17" spans="12:17" x14ac:dyDescent="0.25">
      <c r="L17" t="str">
        <f>FrequencyTable[[#This Row],[ProjectName]]&amp;FrequencyTable[[#This Row],[Name]]&amp;FrequencyTable[[#This Row],[Category]]</f>
        <v/>
      </c>
      <c r="M17">
        <f>FrequencyTable[[#This Row],[StandardPercentage]]/100</f>
        <v>0</v>
      </c>
      <c r="N17">
        <f>IF(FrequencyTable[[#This Row],[IncludeOption]]=1,(FrequencyTable[[#This Row],[RestrictedPercentage]]/100),400000000000000000000)</f>
        <v>4E+20</v>
      </c>
      <c r="O17" cm="1">
        <f t="array" ref="O17">MAX(IF((ProjectInfoTable[ProjectName]=FrequencyTable[[#This Row],[ProjectName]]),(ProjectInfoTable[ProjectName]=FrequencyTable[[#This Row],[ProjectName]])*ProjectInfoTable[NumberOfReplications]))</f>
        <v>0</v>
      </c>
      <c r="P17" cm="1">
        <f t="array" ref="P17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17" cm="1">
        <f t="array" ref="Q17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18" spans="12:17" x14ac:dyDescent="0.25">
      <c r="L18" t="str">
        <f>FrequencyTable[[#This Row],[ProjectName]]&amp;FrequencyTable[[#This Row],[Name]]&amp;FrequencyTable[[#This Row],[Category]]</f>
        <v/>
      </c>
      <c r="M18">
        <f>FrequencyTable[[#This Row],[StandardPercentage]]/100</f>
        <v>0</v>
      </c>
      <c r="N18">
        <f>IF(FrequencyTable[[#This Row],[IncludeOption]]=1,(FrequencyTable[[#This Row],[RestrictedPercentage]]/100),400000000000000000000)</f>
        <v>4E+20</v>
      </c>
      <c r="O18" cm="1">
        <f t="array" ref="O18">MAX(IF((ProjectInfoTable[ProjectName]=FrequencyTable[[#This Row],[ProjectName]]),(ProjectInfoTable[ProjectName]=FrequencyTable[[#This Row],[ProjectName]])*ProjectInfoTable[NumberOfReplications]))</f>
        <v>0</v>
      </c>
      <c r="P18" cm="1">
        <f t="array" ref="P18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18" cm="1">
        <f t="array" ref="Q18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19" spans="12:17" x14ac:dyDescent="0.25">
      <c r="L19" t="str">
        <f>FrequencyTable[[#This Row],[ProjectName]]&amp;FrequencyTable[[#This Row],[Name]]&amp;FrequencyTable[[#This Row],[Category]]</f>
        <v/>
      </c>
      <c r="M19">
        <f>FrequencyTable[[#This Row],[StandardPercentage]]/100</f>
        <v>0</v>
      </c>
      <c r="N19">
        <f>IF(FrequencyTable[[#This Row],[IncludeOption]]=1,(FrequencyTable[[#This Row],[RestrictedPercentage]]/100),400000000000000000000)</f>
        <v>4E+20</v>
      </c>
      <c r="O19" cm="1">
        <f t="array" ref="O19">MAX(IF((ProjectInfoTable[ProjectName]=FrequencyTable[[#This Row],[ProjectName]]),(ProjectInfoTable[ProjectName]=FrequencyTable[[#This Row],[ProjectName]])*ProjectInfoTable[NumberOfReplications]))</f>
        <v>0</v>
      </c>
      <c r="P19" cm="1">
        <f t="array" ref="P19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19" cm="1">
        <f t="array" ref="Q19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20" spans="12:17" x14ac:dyDescent="0.25">
      <c r="L20" t="str">
        <f>FrequencyTable[[#This Row],[ProjectName]]&amp;FrequencyTable[[#This Row],[Name]]&amp;FrequencyTable[[#This Row],[Category]]</f>
        <v/>
      </c>
      <c r="M20">
        <f>FrequencyTable[[#This Row],[StandardPercentage]]/100</f>
        <v>0</v>
      </c>
      <c r="N20">
        <f>IF(FrequencyTable[[#This Row],[IncludeOption]]=1,(FrequencyTable[[#This Row],[RestrictedPercentage]]/100),400000000000000000000)</f>
        <v>4E+20</v>
      </c>
      <c r="O20" cm="1">
        <f t="array" ref="O20">MAX(IF((ProjectInfoTable[ProjectName]=FrequencyTable[[#This Row],[ProjectName]]),(ProjectInfoTable[ProjectName]=FrequencyTable[[#This Row],[ProjectName]])*ProjectInfoTable[NumberOfReplications]))</f>
        <v>0</v>
      </c>
      <c r="P20" cm="1">
        <f t="array" ref="P20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20" cm="1">
        <f t="array" ref="Q20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21" spans="12:17" x14ac:dyDescent="0.25">
      <c r="L21" t="str">
        <f>FrequencyTable[[#This Row],[ProjectName]]&amp;FrequencyTable[[#This Row],[Name]]&amp;FrequencyTable[[#This Row],[Category]]</f>
        <v/>
      </c>
      <c r="M21">
        <f>FrequencyTable[[#This Row],[StandardPercentage]]/100</f>
        <v>0</v>
      </c>
      <c r="N21">
        <f>IF(FrequencyTable[[#This Row],[IncludeOption]]=1,(FrequencyTable[[#This Row],[RestrictedPercentage]]/100),400000000000000000000)</f>
        <v>4E+20</v>
      </c>
      <c r="O21" cm="1">
        <f t="array" ref="O21">MAX(IF((ProjectInfoTable[ProjectName]=FrequencyTable[[#This Row],[ProjectName]]),(ProjectInfoTable[ProjectName]=FrequencyTable[[#This Row],[ProjectName]])*ProjectInfoTable[NumberOfReplications]))</f>
        <v>0</v>
      </c>
      <c r="P21" cm="1">
        <f t="array" ref="P21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21" cm="1">
        <f t="array" ref="Q2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22" spans="12:17" x14ac:dyDescent="0.25">
      <c r="L22" t="str">
        <f>FrequencyTable[[#This Row],[ProjectName]]&amp;FrequencyTable[[#This Row],[Name]]&amp;FrequencyTable[[#This Row],[Category]]</f>
        <v/>
      </c>
      <c r="M22">
        <f>FrequencyTable[[#This Row],[StandardPercentage]]/100</f>
        <v>0</v>
      </c>
      <c r="N22">
        <f>IF(FrequencyTable[[#This Row],[IncludeOption]]=1,(FrequencyTable[[#This Row],[RestrictedPercentage]]/100),400000000000000000000)</f>
        <v>4E+20</v>
      </c>
      <c r="O22" cm="1">
        <f t="array" ref="O22">MAX(IF((ProjectInfoTable[ProjectName]=FrequencyTable[[#This Row],[ProjectName]]),(ProjectInfoTable[ProjectName]=FrequencyTable[[#This Row],[ProjectName]])*ProjectInfoTable[NumberOfReplications]))</f>
        <v>0</v>
      </c>
      <c r="P22" cm="1">
        <f t="array" ref="P22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22" cm="1">
        <f t="array" ref="Q22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23" spans="12:17" x14ac:dyDescent="0.25">
      <c r="L23" t="str">
        <f>FrequencyTable[[#This Row],[ProjectName]]&amp;FrequencyTable[[#This Row],[Name]]&amp;FrequencyTable[[#This Row],[Category]]</f>
        <v/>
      </c>
      <c r="M23">
        <f>FrequencyTable[[#This Row],[StandardPercentage]]/100</f>
        <v>0</v>
      </c>
      <c r="N23">
        <f>IF(FrequencyTable[[#This Row],[IncludeOption]]=1,(FrequencyTable[[#This Row],[RestrictedPercentage]]/100),400000000000000000000)</f>
        <v>4E+20</v>
      </c>
      <c r="O23" cm="1">
        <f t="array" ref="O23">MAX(IF((ProjectInfoTable[ProjectName]=FrequencyTable[[#This Row],[ProjectName]]),(ProjectInfoTable[ProjectName]=FrequencyTable[[#This Row],[ProjectName]])*ProjectInfoTable[NumberOfReplications]))</f>
        <v>0</v>
      </c>
      <c r="P23" cm="1">
        <f t="array" ref="P23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23" cm="1">
        <f t="array" ref="Q23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24" spans="12:17" x14ac:dyDescent="0.25">
      <c r="L24" t="str">
        <f>FrequencyTable[[#This Row],[ProjectName]]&amp;FrequencyTable[[#This Row],[Name]]&amp;FrequencyTable[[#This Row],[Category]]</f>
        <v/>
      </c>
      <c r="M24">
        <f>FrequencyTable[[#This Row],[StandardPercentage]]/100</f>
        <v>0</v>
      </c>
      <c r="N24">
        <f>IF(FrequencyTable[[#This Row],[IncludeOption]]=1,(FrequencyTable[[#This Row],[RestrictedPercentage]]/100),400000000000000000000)</f>
        <v>4E+20</v>
      </c>
      <c r="O24" cm="1">
        <f t="array" ref="O24">MAX(IF((ProjectInfoTable[ProjectName]=FrequencyTable[[#This Row],[ProjectName]]),(ProjectInfoTable[ProjectName]=FrequencyTable[[#This Row],[ProjectName]])*ProjectInfoTable[NumberOfReplications]))</f>
        <v>0</v>
      </c>
      <c r="P24" cm="1">
        <f t="array" ref="P24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24" cm="1">
        <f t="array" ref="Q24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25" spans="12:17" x14ac:dyDescent="0.25">
      <c r="L25" t="str">
        <f>FrequencyTable[[#This Row],[ProjectName]]&amp;FrequencyTable[[#This Row],[Name]]&amp;FrequencyTable[[#This Row],[Category]]</f>
        <v/>
      </c>
      <c r="M25">
        <f>FrequencyTable[[#This Row],[StandardPercentage]]/100</f>
        <v>0</v>
      </c>
      <c r="N25">
        <f>IF(FrequencyTable[[#This Row],[IncludeOption]]=1,(FrequencyTable[[#This Row],[RestrictedPercentage]]/100),400000000000000000000)</f>
        <v>4E+20</v>
      </c>
      <c r="O25" cm="1">
        <f t="array" ref="O25">MAX(IF((ProjectInfoTable[ProjectName]=FrequencyTable[[#This Row],[ProjectName]]),(ProjectInfoTable[ProjectName]=FrequencyTable[[#This Row],[ProjectName]])*ProjectInfoTable[NumberOfReplications]))</f>
        <v>0</v>
      </c>
      <c r="P25" cm="1">
        <f t="array" ref="P25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25" cm="1">
        <f t="array" ref="Q25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26" spans="12:17" x14ac:dyDescent="0.25">
      <c r="L26" t="str">
        <f>FrequencyTable[[#This Row],[ProjectName]]&amp;FrequencyTable[[#This Row],[Name]]&amp;FrequencyTable[[#This Row],[Category]]</f>
        <v/>
      </c>
      <c r="M26">
        <f>FrequencyTable[[#This Row],[StandardPercentage]]/100</f>
        <v>0</v>
      </c>
      <c r="N26">
        <f>IF(FrequencyTable[[#This Row],[IncludeOption]]=1,(FrequencyTable[[#This Row],[RestrictedPercentage]]/100),400000000000000000000)</f>
        <v>4E+20</v>
      </c>
      <c r="O26" cm="1">
        <f t="array" ref="O26">MAX(IF((ProjectInfoTable[ProjectName]=FrequencyTable[[#This Row],[ProjectName]]),(ProjectInfoTable[ProjectName]=FrequencyTable[[#This Row],[ProjectName]])*ProjectInfoTable[NumberOfReplications]))</f>
        <v>0</v>
      </c>
      <c r="P26" cm="1">
        <f t="array" ref="P26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26" cm="1">
        <f t="array" ref="Q26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27" spans="12:17" x14ac:dyDescent="0.25">
      <c r="L27" t="str">
        <f>FrequencyTable[[#This Row],[ProjectName]]&amp;FrequencyTable[[#This Row],[Name]]&amp;FrequencyTable[[#This Row],[Category]]</f>
        <v/>
      </c>
      <c r="M27">
        <f>FrequencyTable[[#This Row],[StandardPercentage]]/100</f>
        <v>0</v>
      </c>
      <c r="N27">
        <f>IF(FrequencyTable[[#This Row],[IncludeOption]]=1,(FrequencyTable[[#This Row],[RestrictedPercentage]]/100),400000000000000000000)</f>
        <v>4E+20</v>
      </c>
      <c r="O27" cm="1">
        <f t="array" ref="O27">MAX(IF((ProjectInfoTable[ProjectName]=FrequencyTable[[#This Row],[ProjectName]]),(ProjectInfoTable[ProjectName]=FrequencyTable[[#This Row],[ProjectName]])*ProjectInfoTable[NumberOfReplications]))</f>
        <v>0</v>
      </c>
      <c r="P27" cm="1">
        <f t="array" ref="P27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27" cm="1">
        <f t="array" ref="Q27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28" spans="12:17" x14ac:dyDescent="0.25">
      <c r="L28" t="str">
        <f>FrequencyTable[[#This Row],[ProjectName]]&amp;FrequencyTable[[#This Row],[Name]]&amp;FrequencyTable[[#This Row],[Category]]</f>
        <v/>
      </c>
      <c r="M28">
        <f>FrequencyTable[[#This Row],[StandardPercentage]]/100</f>
        <v>0</v>
      </c>
      <c r="N28">
        <f>IF(FrequencyTable[[#This Row],[IncludeOption]]=1,(FrequencyTable[[#This Row],[RestrictedPercentage]]/100),400000000000000000000)</f>
        <v>4E+20</v>
      </c>
      <c r="O28" cm="1">
        <f t="array" ref="O28">MAX(IF((ProjectInfoTable[ProjectName]=FrequencyTable[[#This Row],[ProjectName]]),(ProjectInfoTable[ProjectName]=FrequencyTable[[#This Row],[ProjectName]])*ProjectInfoTable[NumberOfReplications]))</f>
        <v>0</v>
      </c>
      <c r="P28" cm="1">
        <f t="array" ref="P28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28" cm="1">
        <f t="array" ref="Q28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29" spans="12:17" x14ac:dyDescent="0.25">
      <c r="L29" t="str">
        <f>FrequencyTable[[#This Row],[ProjectName]]&amp;FrequencyTable[[#This Row],[Name]]&amp;FrequencyTable[[#This Row],[Category]]</f>
        <v/>
      </c>
      <c r="M29">
        <f>FrequencyTable[[#This Row],[StandardPercentage]]/100</f>
        <v>0</v>
      </c>
      <c r="N29">
        <f>IF(FrequencyTable[[#This Row],[IncludeOption]]=1,(FrequencyTable[[#This Row],[RestrictedPercentage]]/100),400000000000000000000)</f>
        <v>4E+20</v>
      </c>
      <c r="O29" cm="1">
        <f t="array" ref="O29">MAX(IF((ProjectInfoTable[ProjectName]=FrequencyTable[[#This Row],[ProjectName]]),(ProjectInfoTable[ProjectName]=FrequencyTable[[#This Row],[ProjectName]])*ProjectInfoTable[NumberOfReplications]))</f>
        <v>0</v>
      </c>
      <c r="P29" cm="1">
        <f t="array" ref="P29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29" cm="1">
        <f t="array" ref="Q29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30" spans="12:17" x14ac:dyDescent="0.25">
      <c r="L30" t="str">
        <f>FrequencyTable[[#This Row],[ProjectName]]&amp;FrequencyTable[[#This Row],[Name]]&amp;FrequencyTable[[#This Row],[Category]]</f>
        <v/>
      </c>
      <c r="M30">
        <f>FrequencyTable[[#This Row],[StandardPercentage]]/100</f>
        <v>0</v>
      </c>
      <c r="N30">
        <f>IF(FrequencyTable[[#This Row],[IncludeOption]]=1,(FrequencyTable[[#This Row],[RestrictedPercentage]]/100),400000000000000000000)</f>
        <v>4E+20</v>
      </c>
      <c r="O30" cm="1">
        <f t="array" ref="O30">MAX(IF((ProjectInfoTable[ProjectName]=FrequencyTable[[#This Row],[ProjectName]]),(ProjectInfoTable[ProjectName]=FrequencyTable[[#This Row],[ProjectName]])*ProjectInfoTable[NumberOfReplications]))</f>
        <v>0</v>
      </c>
      <c r="P30" cm="1">
        <f t="array" ref="P30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30" cm="1">
        <f t="array" ref="Q30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31" spans="12:17" x14ac:dyDescent="0.25">
      <c r="L31" t="str">
        <f>FrequencyTable[[#This Row],[ProjectName]]&amp;FrequencyTable[[#This Row],[Name]]&amp;FrequencyTable[[#This Row],[Category]]</f>
        <v/>
      </c>
      <c r="M31">
        <f>FrequencyTable[[#This Row],[StandardPercentage]]/100</f>
        <v>0</v>
      </c>
      <c r="N31">
        <f>IF(FrequencyTable[[#This Row],[IncludeOption]]=1,(FrequencyTable[[#This Row],[RestrictedPercentage]]/100),400000000000000000000)</f>
        <v>4E+20</v>
      </c>
      <c r="O31" cm="1">
        <f t="array" ref="O31">MAX(IF((ProjectInfoTable[ProjectName]=FrequencyTable[[#This Row],[ProjectName]]),(ProjectInfoTable[ProjectName]=FrequencyTable[[#This Row],[ProjectName]])*ProjectInfoTable[NumberOfReplications]))</f>
        <v>0</v>
      </c>
      <c r="P31" cm="1">
        <f t="array" ref="P31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31" cm="1">
        <f t="array" ref="Q3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32" spans="12:17" x14ac:dyDescent="0.25">
      <c r="L32" t="str">
        <f>FrequencyTable[[#This Row],[ProjectName]]&amp;FrequencyTable[[#This Row],[Name]]&amp;FrequencyTable[[#This Row],[Category]]</f>
        <v/>
      </c>
      <c r="M32">
        <f>FrequencyTable[[#This Row],[StandardPercentage]]/100</f>
        <v>0</v>
      </c>
      <c r="N32">
        <f>IF(FrequencyTable[[#This Row],[IncludeOption]]=1,(FrequencyTable[[#This Row],[RestrictedPercentage]]/100),400000000000000000000)</f>
        <v>4E+20</v>
      </c>
      <c r="O32" cm="1">
        <f t="array" ref="O32">MAX(IF((ProjectInfoTable[ProjectName]=FrequencyTable[[#This Row],[ProjectName]]),(ProjectInfoTable[ProjectName]=FrequencyTable[[#This Row],[ProjectName]])*ProjectInfoTable[NumberOfReplications]))</f>
        <v>0</v>
      </c>
      <c r="P32" cm="1">
        <f t="array" ref="P32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32" cm="1">
        <f t="array" ref="Q32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33" spans="12:17" x14ac:dyDescent="0.25">
      <c r="L33" t="str">
        <f>FrequencyTable[[#This Row],[ProjectName]]&amp;FrequencyTable[[#This Row],[Name]]&amp;FrequencyTable[[#This Row],[Category]]</f>
        <v/>
      </c>
      <c r="M33">
        <f>FrequencyTable[[#This Row],[StandardPercentage]]/100</f>
        <v>0</v>
      </c>
      <c r="N33">
        <f>IF(FrequencyTable[[#This Row],[IncludeOption]]=1,(FrequencyTable[[#This Row],[RestrictedPercentage]]/100),400000000000000000000)</f>
        <v>4E+20</v>
      </c>
      <c r="O33" cm="1">
        <f t="array" ref="O33">MAX(IF((ProjectInfoTable[ProjectName]=FrequencyTable[[#This Row],[ProjectName]]),(ProjectInfoTable[ProjectName]=FrequencyTable[[#This Row],[ProjectName]])*ProjectInfoTable[NumberOfReplications]))</f>
        <v>0</v>
      </c>
      <c r="P33" cm="1">
        <f t="array" ref="P33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33" cm="1">
        <f t="array" ref="Q33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34" spans="12:17" x14ac:dyDescent="0.25">
      <c r="L34" t="str">
        <f>FrequencyTable[[#This Row],[ProjectName]]&amp;FrequencyTable[[#This Row],[Name]]&amp;FrequencyTable[[#This Row],[Category]]</f>
        <v/>
      </c>
      <c r="M34">
        <f>FrequencyTable[[#This Row],[StandardPercentage]]/100</f>
        <v>0</v>
      </c>
      <c r="N34">
        <f>IF(FrequencyTable[[#This Row],[IncludeOption]]=1,(FrequencyTable[[#This Row],[RestrictedPercentage]]/100),400000000000000000000)</f>
        <v>4E+20</v>
      </c>
      <c r="O34" cm="1">
        <f t="array" ref="O34">MAX(IF((ProjectInfoTable[ProjectName]=FrequencyTable[[#This Row],[ProjectName]]),(ProjectInfoTable[ProjectName]=FrequencyTable[[#This Row],[ProjectName]])*ProjectInfoTable[NumberOfReplications]))</f>
        <v>0</v>
      </c>
      <c r="P34" cm="1">
        <f t="array" ref="P34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34" cm="1">
        <f t="array" ref="Q34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35" spans="12:17" x14ac:dyDescent="0.25">
      <c r="L35" t="str">
        <f>FrequencyTable[[#This Row],[ProjectName]]&amp;FrequencyTable[[#This Row],[Name]]&amp;FrequencyTable[[#This Row],[Category]]</f>
        <v/>
      </c>
      <c r="M35">
        <f>FrequencyTable[[#This Row],[StandardPercentage]]/100</f>
        <v>0</v>
      </c>
      <c r="N35">
        <f>IF(FrequencyTable[[#This Row],[IncludeOption]]=1,(FrequencyTable[[#This Row],[RestrictedPercentage]]/100),400000000000000000000)</f>
        <v>4E+20</v>
      </c>
      <c r="O35" cm="1">
        <f t="array" ref="O35">MAX(IF((ProjectInfoTable[ProjectName]=FrequencyTable[[#This Row],[ProjectName]]),(ProjectInfoTable[ProjectName]=FrequencyTable[[#This Row],[ProjectName]])*ProjectInfoTable[NumberOfReplications]))</f>
        <v>0</v>
      </c>
      <c r="P35" cm="1">
        <f t="array" ref="P35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35" cm="1">
        <f t="array" ref="Q35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36" spans="12:17" x14ac:dyDescent="0.25">
      <c r="L36" t="str">
        <f>FrequencyTable[[#This Row],[ProjectName]]&amp;FrequencyTable[[#This Row],[Name]]&amp;FrequencyTable[[#This Row],[Category]]</f>
        <v/>
      </c>
      <c r="M36">
        <f>FrequencyTable[[#This Row],[StandardPercentage]]/100</f>
        <v>0</v>
      </c>
      <c r="N36">
        <f>IF(FrequencyTable[[#This Row],[IncludeOption]]=1,(FrequencyTable[[#This Row],[RestrictedPercentage]]/100),400000000000000000000)</f>
        <v>4E+20</v>
      </c>
      <c r="O36" cm="1">
        <f t="array" ref="O36">MAX(IF((ProjectInfoTable[ProjectName]=FrequencyTable[[#This Row],[ProjectName]]),(ProjectInfoTable[ProjectName]=FrequencyTable[[#This Row],[ProjectName]])*ProjectInfoTable[NumberOfReplications]))</f>
        <v>0</v>
      </c>
      <c r="P36" cm="1">
        <f t="array" ref="P36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36" cm="1">
        <f t="array" ref="Q36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37" spans="12:17" x14ac:dyDescent="0.25">
      <c r="L37" t="str">
        <f>FrequencyTable[[#This Row],[ProjectName]]&amp;FrequencyTable[[#This Row],[Name]]&amp;FrequencyTable[[#This Row],[Category]]</f>
        <v/>
      </c>
      <c r="M37">
        <f>FrequencyTable[[#This Row],[StandardPercentage]]/100</f>
        <v>0</v>
      </c>
      <c r="N37">
        <f>IF(FrequencyTable[[#This Row],[IncludeOption]]=1,(FrequencyTable[[#This Row],[RestrictedPercentage]]/100),400000000000000000000)</f>
        <v>4E+20</v>
      </c>
      <c r="O37" cm="1">
        <f t="array" ref="O37">MAX(IF((ProjectInfoTable[ProjectName]=FrequencyTable[[#This Row],[ProjectName]]),(ProjectInfoTable[ProjectName]=FrequencyTable[[#This Row],[ProjectName]])*ProjectInfoTable[NumberOfReplications]))</f>
        <v>0</v>
      </c>
      <c r="P37" cm="1">
        <f t="array" ref="P37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37" cm="1">
        <f t="array" ref="Q37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38" spans="12:17" x14ac:dyDescent="0.25">
      <c r="L38" t="str">
        <f>FrequencyTable[[#This Row],[ProjectName]]&amp;FrequencyTable[[#This Row],[Name]]&amp;FrequencyTable[[#This Row],[Category]]</f>
        <v/>
      </c>
      <c r="M38">
        <f>FrequencyTable[[#This Row],[StandardPercentage]]/100</f>
        <v>0</v>
      </c>
      <c r="N38">
        <f>IF(FrequencyTable[[#This Row],[IncludeOption]]=1,(FrequencyTable[[#This Row],[RestrictedPercentage]]/100),400000000000000000000)</f>
        <v>4E+20</v>
      </c>
      <c r="O38" cm="1">
        <f t="array" ref="O38">MAX(IF((ProjectInfoTable[ProjectName]=FrequencyTable[[#This Row],[ProjectName]]),(ProjectInfoTable[ProjectName]=FrequencyTable[[#This Row],[ProjectName]])*ProjectInfoTable[NumberOfReplications]))</f>
        <v>0</v>
      </c>
      <c r="P38" cm="1">
        <f t="array" ref="P38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38" cm="1">
        <f t="array" ref="Q38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39" spans="12:17" x14ac:dyDescent="0.25">
      <c r="L39" t="str">
        <f>FrequencyTable[[#This Row],[ProjectName]]&amp;FrequencyTable[[#This Row],[Name]]&amp;FrequencyTable[[#This Row],[Category]]</f>
        <v/>
      </c>
      <c r="M39">
        <f>FrequencyTable[[#This Row],[StandardPercentage]]/100</f>
        <v>0</v>
      </c>
      <c r="N39">
        <f>IF(FrequencyTable[[#This Row],[IncludeOption]]=1,(FrequencyTable[[#This Row],[RestrictedPercentage]]/100),400000000000000000000)</f>
        <v>4E+20</v>
      </c>
      <c r="O39" cm="1">
        <f t="array" ref="O39">MAX(IF((ProjectInfoTable[ProjectName]=FrequencyTable[[#This Row],[ProjectName]]),(ProjectInfoTable[ProjectName]=FrequencyTable[[#This Row],[ProjectName]])*ProjectInfoTable[NumberOfReplications]))</f>
        <v>0</v>
      </c>
      <c r="P39" cm="1">
        <f t="array" ref="P39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39" cm="1">
        <f t="array" ref="Q39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40" spans="12:17" x14ac:dyDescent="0.25">
      <c r="L40" t="str">
        <f>FrequencyTable[[#This Row],[ProjectName]]&amp;FrequencyTable[[#This Row],[Name]]&amp;FrequencyTable[[#This Row],[Category]]</f>
        <v/>
      </c>
      <c r="M40">
        <f>FrequencyTable[[#This Row],[StandardPercentage]]/100</f>
        <v>0</v>
      </c>
      <c r="N40">
        <f>IF(FrequencyTable[[#This Row],[IncludeOption]]=1,(FrequencyTable[[#This Row],[RestrictedPercentage]]/100),400000000000000000000)</f>
        <v>4E+20</v>
      </c>
      <c r="O40" cm="1">
        <f t="array" ref="O40">MAX(IF((ProjectInfoTable[ProjectName]=FrequencyTable[[#This Row],[ProjectName]]),(ProjectInfoTable[ProjectName]=FrequencyTable[[#This Row],[ProjectName]])*ProjectInfoTable[NumberOfReplications]))</f>
        <v>0</v>
      </c>
      <c r="P40" cm="1">
        <f t="array" ref="P40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40" cm="1">
        <f t="array" ref="Q40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41" spans="12:17" x14ac:dyDescent="0.25">
      <c r="L41" t="str">
        <f>FrequencyTable[[#This Row],[ProjectName]]&amp;FrequencyTable[[#This Row],[Name]]&amp;FrequencyTable[[#This Row],[Category]]</f>
        <v/>
      </c>
      <c r="M41">
        <f>FrequencyTable[[#This Row],[StandardPercentage]]/100</f>
        <v>0</v>
      </c>
      <c r="N41">
        <f>IF(FrequencyTable[[#This Row],[IncludeOption]]=1,(FrequencyTable[[#This Row],[RestrictedPercentage]]/100),400000000000000000000)</f>
        <v>4E+20</v>
      </c>
      <c r="O41" cm="1">
        <f t="array" ref="O41">MAX(IF((ProjectInfoTable[ProjectName]=FrequencyTable[[#This Row],[ProjectName]]),(ProjectInfoTable[ProjectName]=FrequencyTable[[#This Row],[ProjectName]])*ProjectInfoTable[NumberOfReplications]))</f>
        <v>0</v>
      </c>
      <c r="P41" cm="1">
        <f t="array" ref="P41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41" cm="1">
        <f t="array" ref="Q4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42" spans="12:17" x14ac:dyDescent="0.25">
      <c r="L42" t="str">
        <f>FrequencyTable[[#This Row],[ProjectName]]&amp;FrequencyTable[[#This Row],[Name]]&amp;FrequencyTable[[#This Row],[Category]]</f>
        <v/>
      </c>
      <c r="M42">
        <f>FrequencyTable[[#This Row],[StandardPercentage]]/100</f>
        <v>0</v>
      </c>
      <c r="N42">
        <f>IF(FrequencyTable[[#This Row],[IncludeOption]]=1,(FrequencyTable[[#This Row],[RestrictedPercentage]]/100),400000000000000000000)</f>
        <v>4E+20</v>
      </c>
      <c r="O42" cm="1">
        <f t="array" ref="O42">MAX(IF((ProjectInfoTable[ProjectName]=FrequencyTable[[#This Row],[ProjectName]]),(ProjectInfoTable[ProjectName]=FrequencyTable[[#This Row],[ProjectName]])*ProjectInfoTable[NumberOfReplications]))</f>
        <v>0</v>
      </c>
      <c r="P42" cm="1">
        <f t="array" ref="P42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42" cm="1">
        <f t="array" ref="Q42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43" spans="12:17" x14ac:dyDescent="0.25">
      <c r="L43" t="str">
        <f>FrequencyTable[[#This Row],[ProjectName]]&amp;FrequencyTable[[#This Row],[Name]]&amp;FrequencyTable[[#This Row],[Category]]</f>
        <v/>
      </c>
      <c r="M43">
        <f>FrequencyTable[[#This Row],[StandardPercentage]]/100</f>
        <v>0</v>
      </c>
      <c r="N43">
        <f>IF(FrequencyTable[[#This Row],[IncludeOption]]=1,(FrequencyTable[[#This Row],[RestrictedPercentage]]/100),400000000000000000000)</f>
        <v>4E+20</v>
      </c>
      <c r="O43" cm="1">
        <f t="array" ref="O43">MAX(IF((ProjectInfoTable[ProjectName]=FrequencyTable[[#This Row],[ProjectName]]),(ProjectInfoTable[ProjectName]=FrequencyTable[[#This Row],[ProjectName]])*ProjectInfoTable[NumberOfReplications]))</f>
        <v>0</v>
      </c>
      <c r="P43" cm="1">
        <f t="array" ref="P43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43" cm="1">
        <f t="array" ref="Q43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44" spans="12:17" x14ac:dyDescent="0.25">
      <c r="L44" t="str">
        <f>FrequencyTable[[#This Row],[ProjectName]]&amp;FrequencyTable[[#This Row],[Name]]&amp;FrequencyTable[[#This Row],[Category]]</f>
        <v/>
      </c>
      <c r="M44">
        <f>FrequencyTable[[#This Row],[StandardPercentage]]/100</f>
        <v>0</v>
      </c>
      <c r="N44">
        <f>IF(FrequencyTable[[#This Row],[IncludeOption]]=1,(FrequencyTable[[#This Row],[RestrictedPercentage]]/100),400000000000000000000)</f>
        <v>4E+20</v>
      </c>
      <c r="O44" cm="1">
        <f t="array" ref="O44">MAX(IF((ProjectInfoTable[ProjectName]=FrequencyTable[[#This Row],[ProjectName]]),(ProjectInfoTable[ProjectName]=FrequencyTable[[#This Row],[ProjectName]])*ProjectInfoTable[NumberOfReplications]))</f>
        <v>0</v>
      </c>
      <c r="P44" cm="1">
        <f t="array" ref="P44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44" cm="1">
        <f t="array" ref="Q44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45" spans="12:17" x14ac:dyDescent="0.25">
      <c r="L45" t="str">
        <f>FrequencyTable[[#This Row],[ProjectName]]&amp;FrequencyTable[[#This Row],[Name]]&amp;FrequencyTable[[#This Row],[Category]]</f>
        <v/>
      </c>
      <c r="M45">
        <f>FrequencyTable[[#This Row],[StandardPercentage]]/100</f>
        <v>0</v>
      </c>
      <c r="N45">
        <f>IF(FrequencyTable[[#This Row],[IncludeOption]]=1,(FrequencyTable[[#This Row],[RestrictedPercentage]]/100),400000000000000000000)</f>
        <v>4E+20</v>
      </c>
      <c r="O45" cm="1">
        <f t="array" ref="O45">MAX(IF((ProjectInfoTable[ProjectName]=FrequencyTable[[#This Row],[ProjectName]]),(ProjectInfoTable[ProjectName]=FrequencyTable[[#This Row],[ProjectName]])*ProjectInfoTable[NumberOfReplications]))</f>
        <v>0</v>
      </c>
      <c r="P45" cm="1">
        <f t="array" ref="P45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45" cm="1">
        <f t="array" ref="Q45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46" spans="12:17" x14ac:dyDescent="0.25">
      <c r="L46" t="str">
        <f>FrequencyTable[[#This Row],[ProjectName]]&amp;FrequencyTable[[#This Row],[Name]]&amp;FrequencyTable[[#This Row],[Category]]</f>
        <v/>
      </c>
      <c r="M46">
        <f>FrequencyTable[[#This Row],[StandardPercentage]]/100</f>
        <v>0</v>
      </c>
      <c r="N46">
        <f>IF(FrequencyTable[[#This Row],[IncludeOption]]=1,(FrequencyTable[[#This Row],[RestrictedPercentage]]/100),400000000000000000000)</f>
        <v>4E+20</v>
      </c>
      <c r="O46" cm="1">
        <f t="array" ref="O46">MAX(IF((ProjectInfoTable[ProjectName]=FrequencyTable[[#This Row],[ProjectName]]),(ProjectInfoTable[ProjectName]=FrequencyTable[[#This Row],[ProjectName]])*ProjectInfoTable[NumberOfReplications]))</f>
        <v>0</v>
      </c>
      <c r="P46" cm="1">
        <f t="array" ref="P46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46" cm="1">
        <f t="array" ref="Q46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47" spans="12:17" x14ac:dyDescent="0.25">
      <c r="L47" t="str">
        <f>FrequencyTable[[#This Row],[ProjectName]]&amp;FrequencyTable[[#This Row],[Name]]&amp;FrequencyTable[[#This Row],[Category]]</f>
        <v/>
      </c>
      <c r="M47">
        <f>FrequencyTable[[#This Row],[StandardPercentage]]/100</f>
        <v>0</v>
      </c>
      <c r="N47">
        <f>IF(FrequencyTable[[#This Row],[IncludeOption]]=1,(FrequencyTable[[#This Row],[RestrictedPercentage]]/100),400000000000000000000)</f>
        <v>4E+20</v>
      </c>
      <c r="O47" cm="1">
        <f t="array" ref="O47">MAX(IF((ProjectInfoTable[ProjectName]=FrequencyTable[[#This Row],[ProjectName]]),(ProjectInfoTable[ProjectName]=FrequencyTable[[#This Row],[ProjectName]])*ProjectInfoTable[NumberOfReplications]))</f>
        <v>0</v>
      </c>
      <c r="P47" cm="1">
        <f t="array" ref="P47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47" cm="1">
        <f t="array" ref="Q47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62" spans="2:2" x14ac:dyDescent="0.25">
      <c r="B62" s="3"/>
    </row>
    <row r="63" spans="2:2" x14ac:dyDescent="0.25">
      <c r="B63" s="3"/>
    </row>
    <row r="64" spans="2:2" x14ac:dyDescent="0.25">
      <c r="B64" s="3"/>
    </row>
    <row r="65" spans="2:2" x14ac:dyDescent="0.25">
      <c r="B65" s="3"/>
    </row>
    <row r="66" spans="2:2" x14ac:dyDescent="0.25">
      <c r="B66" s="3"/>
    </row>
    <row r="67" spans="2:2" x14ac:dyDescent="0.25">
      <c r="B67" s="3"/>
    </row>
    <row r="68" spans="2:2" x14ac:dyDescent="0.25">
      <c r="B68" s="3"/>
    </row>
    <row r="69" spans="2:2" x14ac:dyDescent="0.25">
      <c r="B69" s="3"/>
    </row>
    <row r="70" spans="2:2" x14ac:dyDescent="0.25">
      <c r="B70" s="3"/>
    </row>
    <row r="71" spans="2:2" x14ac:dyDescent="0.25">
      <c r="B71" s="3"/>
    </row>
    <row r="72" spans="2:2" x14ac:dyDescent="0.25">
      <c r="B72" s="3"/>
    </row>
    <row r="73" spans="2:2" x14ac:dyDescent="0.25">
      <c r="B73" s="3"/>
    </row>
    <row r="74" spans="2:2" x14ac:dyDescent="0.25">
      <c r="B74" s="3"/>
    </row>
    <row r="75" spans="2:2" x14ac:dyDescent="0.25">
      <c r="B75" s="3"/>
    </row>
    <row r="76" spans="2:2" x14ac:dyDescent="0.25">
      <c r="B76" s="3"/>
    </row>
  </sheetData>
  <phoneticPr fontId="2" type="noConversion"/>
  <conditionalFormatting sqref="L62:Q62 R45:W45 R31:W31 L76:Q76 L1:Q47">
    <cfRule type="expression" dxfId="4" priority="3">
      <formula>MOD(ROW(),2)=0</formula>
    </cfRule>
  </conditionalFormatting>
  <conditionalFormatting sqref="H2:H47">
    <cfRule type="expression" dxfId="3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Cynthia Kasales</cp:lastModifiedBy>
  <cp:lastPrinted>2022-03-22T10:33:10Z</cp:lastPrinted>
  <dcterms:created xsi:type="dcterms:W3CDTF">2020-06-29T21:30:31Z</dcterms:created>
  <dcterms:modified xsi:type="dcterms:W3CDTF">2024-01-31T15:04:57Z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